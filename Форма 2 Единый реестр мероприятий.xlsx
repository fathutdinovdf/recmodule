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Лев\Desktop\КМУМФ\Согласование формы\Формочки\совещание 31.07.26\После обсуждения\"/>
    </mc:Choice>
  </mc:AlternateContent>
  <xr:revisionPtr revIDLastSave="0" documentId="13_ncr:1_{FCFE87AA-A59B-4DA5-871B-A5D4E31FCDB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Реестр мероприятий" sheetId="1" r:id="rId1"/>
    <sheet name="Справочник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O6" i="1"/>
  <c r="M6" i="1"/>
  <c r="G6" i="1"/>
  <c r="K6" i="1"/>
  <c r="N10" i="1"/>
  <c r="P10" i="1" s="1"/>
  <c r="A6" i="1"/>
  <c r="A11" i="1"/>
  <c r="A12" i="1" s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P11" i="1" l="1"/>
  <c r="A13" i="1"/>
  <c r="A14" i="1" s="1"/>
  <c r="P12" i="1"/>
  <c r="P13" i="1" l="1"/>
  <c r="A15" i="1"/>
  <c r="P14" i="1"/>
  <c r="P15" i="1" l="1"/>
  <c r="A16" i="1"/>
  <c r="P16" i="1" l="1"/>
  <c r="A17" i="1"/>
  <c r="P17" i="1" l="1"/>
  <c r="A18" i="1"/>
  <c r="P18" i="1" l="1"/>
  <c r="A19" i="1"/>
  <c r="A20" i="1" l="1"/>
  <c r="P19" i="1"/>
  <c r="A21" i="1" l="1"/>
  <c r="P20" i="1"/>
  <c r="A22" i="1" l="1"/>
  <c r="P21" i="1"/>
  <c r="A23" i="1" l="1"/>
  <c r="P22" i="1"/>
  <c r="P23" i="1" l="1"/>
  <c r="A24" i="1"/>
  <c r="P24" i="1" l="1"/>
  <c r="A25" i="1"/>
  <c r="A26" i="1" l="1"/>
  <c r="P25" i="1"/>
  <c r="P26" i="1" l="1"/>
  <c r="A27" i="1"/>
  <c r="A28" i="1" l="1"/>
  <c r="P27" i="1"/>
  <c r="A29" i="1" l="1"/>
  <c r="P28" i="1"/>
  <c r="A30" i="1" l="1"/>
  <c r="P29" i="1"/>
  <c r="A31" i="1" l="1"/>
  <c r="P30" i="1"/>
  <c r="P31" i="1" l="1"/>
  <c r="A32" i="1"/>
  <c r="P32" i="1" l="1"/>
  <c r="A33" i="1"/>
  <c r="P33" i="1" l="1"/>
  <c r="A34" i="1"/>
  <c r="P34" i="1" l="1"/>
  <c r="A35" i="1"/>
  <c r="A36" i="1" l="1"/>
  <c r="P35" i="1"/>
  <c r="A37" i="1" l="1"/>
  <c r="P36" i="1"/>
  <c r="P37" i="1" l="1"/>
  <c r="A38" i="1"/>
  <c r="A39" i="1" l="1"/>
  <c r="P38" i="1"/>
  <c r="P39" i="1" l="1"/>
  <c r="A40" i="1"/>
  <c r="P40" i="1" l="1"/>
  <c r="A41" i="1"/>
  <c r="P41" i="1" l="1"/>
  <c r="A42" i="1"/>
  <c r="P42" i="1" l="1"/>
  <c r="A43" i="1"/>
  <c r="A44" i="1" l="1"/>
  <c r="P43" i="1"/>
  <c r="A45" i="1" l="1"/>
  <c r="P44" i="1"/>
  <c r="A46" i="1" l="1"/>
  <c r="P45" i="1"/>
  <c r="A47" i="1" l="1"/>
  <c r="P46" i="1"/>
  <c r="P47" i="1" l="1"/>
  <c r="A48" i="1"/>
  <c r="P48" i="1" l="1"/>
  <c r="A49" i="1"/>
  <c r="P49" i="1" l="1"/>
  <c r="A50" i="1"/>
  <c r="P50" i="1" l="1"/>
  <c r="A51" i="1"/>
  <c r="A52" i="1" l="1"/>
  <c r="P51" i="1"/>
  <c r="A53" i="1" l="1"/>
  <c r="P52" i="1"/>
  <c r="A54" i="1" l="1"/>
  <c r="P53" i="1"/>
  <c r="A55" i="1" l="1"/>
  <c r="P54" i="1"/>
  <c r="P55" i="1" l="1"/>
  <c r="A56" i="1"/>
  <c r="P56" i="1" l="1"/>
  <c r="A57" i="1"/>
  <c r="P57" i="1" l="1"/>
  <c r="A58" i="1"/>
  <c r="P58" i="1" l="1"/>
  <c r="A59" i="1"/>
  <c r="A60" i="1" l="1"/>
  <c r="P59" i="1"/>
  <c r="A61" i="1" l="1"/>
  <c r="P60" i="1"/>
  <c r="P61" i="1" l="1"/>
  <c r="A62" i="1"/>
  <c r="A63" i="1" l="1"/>
  <c r="P62" i="1"/>
  <c r="P63" i="1" l="1"/>
  <c r="A64" i="1"/>
  <c r="P64" i="1" l="1"/>
  <c r="A65" i="1"/>
  <c r="A66" i="1" l="1"/>
  <c r="P65" i="1"/>
  <c r="P66" i="1" l="1"/>
  <c r="A67" i="1"/>
  <c r="A68" i="1" l="1"/>
  <c r="P67" i="1"/>
  <c r="A69" i="1" l="1"/>
  <c r="P68" i="1"/>
  <c r="A70" i="1" l="1"/>
  <c r="P69" i="1"/>
  <c r="A71" i="1" l="1"/>
  <c r="P70" i="1"/>
  <c r="P71" i="1" l="1"/>
  <c r="A72" i="1"/>
  <c r="P72" i="1" l="1"/>
  <c r="A73" i="1"/>
  <c r="P73" i="1" l="1"/>
  <c r="A74" i="1"/>
  <c r="P74" i="1" l="1"/>
  <c r="A75" i="1"/>
  <c r="A76" i="1" l="1"/>
  <c r="P75" i="1"/>
  <c r="A77" i="1" l="1"/>
  <c r="P76" i="1"/>
  <c r="A78" i="1" l="1"/>
  <c r="P77" i="1"/>
  <c r="A79" i="1" l="1"/>
  <c r="P78" i="1"/>
  <c r="P79" i="1" l="1"/>
  <c r="A80" i="1"/>
  <c r="P80" i="1" l="1"/>
  <c r="A81" i="1"/>
  <c r="A82" i="1" l="1"/>
  <c r="P81" i="1"/>
  <c r="P82" i="1" l="1"/>
  <c r="A83" i="1"/>
  <c r="A84" i="1" l="1"/>
  <c r="P83" i="1"/>
  <c r="A85" i="1" l="1"/>
  <c r="P84" i="1"/>
  <c r="P85" i="1" l="1"/>
  <c r="A86" i="1"/>
  <c r="A87" i="1" l="1"/>
  <c r="P86" i="1"/>
  <c r="P87" i="1" l="1"/>
  <c r="A88" i="1"/>
  <c r="P88" i="1" l="1"/>
  <c r="A89" i="1"/>
  <c r="A90" i="1" l="1"/>
  <c r="P89" i="1"/>
  <c r="P90" i="1" l="1"/>
  <c r="A91" i="1"/>
  <c r="A92" i="1" l="1"/>
  <c r="P91" i="1"/>
  <c r="A93" i="1" l="1"/>
  <c r="P92" i="1"/>
  <c r="A94" i="1" l="1"/>
  <c r="P93" i="1"/>
  <c r="A95" i="1" l="1"/>
  <c r="P94" i="1"/>
  <c r="P95" i="1" l="1"/>
  <c r="A96" i="1"/>
  <c r="P96" i="1" l="1"/>
  <c r="A97" i="1"/>
  <c r="P97" i="1" l="1"/>
  <c r="A98" i="1"/>
  <c r="P98" i="1" l="1"/>
  <c r="A99" i="1"/>
  <c r="A100" i="1" l="1"/>
  <c r="P99" i="1"/>
  <c r="A101" i="1" l="1"/>
  <c r="P100" i="1"/>
  <c r="A102" i="1" l="1"/>
  <c r="P101" i="1"/>
  <c r="A103" i="1" l="1"/>
  <c r="P102" i="1"/>
  <c r="P103" i="1" l="1"/>
  <c r="A104" i="1"/>
  <c r="P104" i="1" l="1"/>
  <c r="A105" i="1"/>
  <c r="A106" i="1" l="1"/>
  <c r="P105" i="1"/>
  <c r="P106" i="1" l="1"/>
  <c r="A107" i="1"/>
  <c r="A108" i="1" l="1"/>
  <c r="P107" i="1"/>
  <c r="A109" i="1" l="1"/>
  <c r="P108" i="1"/>
  <c r="P109" i="1" l="1"/>
  <c r="A110" i="1"/>
  <c r="A111" i="1" l="1"/>
  <c r="P110" i="1"/>
  <c r="P111" i="1" l="1"/>
  <c r="A112" i="1"/>
  <c r="P112" i="1" l="1"/>
  <c r="A113" i="1"/>
  <c r="A114" i="1" l="1"/>
  <c r="P113" i="1"/>
  <c r="P114" i="1" l="1"/>
  <c r="A115" i="1"/>
  <c r="A116" i="1" l="1"/>
  <c r="P115" i="1"/>
  <c r="A117" i="1" l="1"/>
  <c r="P116" i="1"/>
  <c r="P117" i="1" l="1"/>
  <c r="A118" i="1"/>
  <c r="A119" i="1" l="1"/>
  <c r="P118" i="1"/>
  <c r="P119" i="1" l="1"/>
  <c r="A120" i="1"/>
  <c r="P120" i="1" l="1"/>
  <c r="A121" i="1"/>
  <c r="P121" i="1" l="1"/>
  <c r="A122" i="1"/>
  <c r="P122" i="1" l="1"/>
  <c r="A123" i="1"/>
  <c r="A124" i="1" l="1"/>
  <c r="P123" i="1"/>
  <c r="A125" i="1" l="1"/>
  <c r="P124" i="1"/>
  <c r="A126" i="1" l="1"/>
  <c r="P125" i="1"/>
  <c r="A127" i="1" l="1"/>
  <c r="P126" i="1"/>
  <c r="P127" i="1" l="1"/>
  <c r="A128" i="1"/>
  <c r="P128" i="1" l="1"/>
  <c r="A129" i="1"/>
  <c r="A130" i="1" l="1"/>
  <c r="P129" i="1"/>
  <c r="P130" i="1" l="1"/>
  <c r="A131" i="1"/>
  <c r="A132" i="1" l="1"/>
  <c r="P131" i="1"/>
  <c r="A133" i="1" l="1"/>
  <c r="P132" i="1"/>
  <c r="A134" i="1" l="1"/>
  <c r="P133" i="1"/>
  <c r="A135" i="1" l="1"/>
  <c r="P134" i="1"/>
  <c r="P135" i="1" l="1"/>
  <c r="A136" i="1"/>
  <c r="P136" i="1" l="1"/>
  <c r="A137" i="1"/>
  <c r="P137" i="1" l="1"/>
  <c r="A138" i="1"/>
  <c r="P138" i="1" l="1"/>
  <c r="A139" i="1"/>
  <c r="A140" i="1" l="1"/>
  <c r="P139" i="1"/>
  <c r="A141" i="1" l="1"/>
  <c r="P140" i="1"/>
  <c r="P141" i="1" l="1"/>
  <c r="A142" i="1"/>
  <c r="A143" i="1" l="1"/>
  <c r="P142" i="1"/>
  <c r="P143" i="1" l="1"/>
  <c r="A144" i="1"/>
  <c r="P144" i="1" l="1"/>
  <c r="A145" i="1"/>
  <c r="P145" i="1" l="1"/>
  <c r="A146" i="1"/>
  <c r="P146" i="1" l="1"/>
  <c r="A147" i="1"/>
  <c r="A148" i="1" l="1"/>
  <c r="P147" i="1"/>
  <c r="A149" i="1" l="1"/>
  <c r="P148" i="1"/>
  <c r="A150" i="1" l="1"/>
  <c r="P149" i="1"/>
  <c r="A151" i="1" l="1"/>
  <c r="P150" i="1"/>
  <c r="P151" i="1" l="1"/>
  <c r="A152" i="1"/>
  <c r="P152" i="1" l="1"/>
  <c r="A153" i="1"/>
  <c r="A154" i="1" l="1"/>
  <c r="P153" i="1"/>
  <c r="P154" i="1" l="1"/>
  <c r="A155" i="1"/>
  <c r="A156" i="1" l="1"/>
  <c r="P155" i="1"/>
  <c r="A157" i="1" l="1"/>
  <c r="P156" i="1"/>
  <c r="A158" i="1" l="1"/>
  <c r="P157" i="1"/>
  <c r="A159" i="1" l="1"/>
  <c r="P158" i="1"/>
  <c r="P159" i="1" l="1"/>
  <c r="A160" i="1"/>
  <c r="P160" i="1" l="1"/>
  <c r="A161" i="1"/>
  <c r="P161" i="1" l="1"/>
  <c r="A162" i="1"/>
  <c r="P162" i="1" l="1"/>
  <c r="A163" i="1"/>
  <c r="A164" i="1" l="1"/>
  <c r="P163" i="1"/>
  <c r="A165" i="1" l="1"/>
  <c r="P164" i="1"/>
  <c r="P165" i="1" l="1"/>
  <c r="A166" i="1"/>
  <c r="A167" i="1" l="1"/>
  <c r="P166" i="1"/>
  <c r="P167" i="1" l="1"/>
  <c r="A168" i="1"/>
  <c r="P168" i="1" l="1"/>
  <c r="A169" i="1"/>
  <c r="A170" i="1" l="1"/>
  <c r="P169" i="1"/>
  <c r="P170" i="1" l="1"/>
  <c r="A171" i="1"/>
  <c r="A172" i="1" l="1"/>
  <c r="P171" i="1"/>
  <c r="A173" i="1" l="1"/>
  <c r="P172" i="1"/>
  <c r="A174" i="1" l="1"/>
  <c r="P173" i="1"/>
  <c r="A175" i="1" l="1"/>
  <c r="P174" i="1"/>
  <c r="P175" i="1" l="1"/>
  <c r="A176" i="1"/>
  <c r="P176" i="1" l="1"/>
  <c r="A177" i="1"/>
  <c r="P177" i="1" l="1"/>
  <c r="A178" i="1"/>
  <c r="P178" i="1" l="1"/>
  <c r="A179" i="1"/>
  <c r="A180" i="1" l="1"/>
  <c r="P179" i="1"/>
  <c r="A181" i="1" l="1"/>
  <c r="P180" i="1"/>
  <c r="A182" i="1" l="1"/>
  <c r="P181" i="1"/>
  <c r="A183" i="1" l="1"/>
  <c r="P182" i="1"/>
  <c r="P183" i="1" l="1"/>
  <c r="A184" i="1"/>
  <c r="P184" i="1" l="1"/>
  <c r="A185" i="1"/>
  <c r="A186" i="1" l="1"/>
  <c r="P185" i="1"/>
  <c r="P186" i="1" l="1"/>
  <c r="A187" i="1"/>
  <c r="A188" i="1" l="1"/>
  <c r="P187" i="1"/>
  <c r="A189" i="1" l="1"/>
  <c r="P188" i="1"/>
  <c r="A190" i="1" l="1"/>
  <c r="P189" i="1"/>
  <c r="A191" i="1" l="1"/>
  <c r="P190" i="1"/>
  <c r="P191" i="1" l="1"/>
  <c r="A192" i="1"/>
  <c r="P192" i="1" l="1"/>
  <c r="A193" i="1"/>
  <c r="P193" i="1" l="1"/>
  <c r="A194" i="1"/>
  <c r="P194" i="1" l="1"/>
  <c r="A195" i="1"/>
  <c r="A196" i="1" l="1"/>
  <c r="P195" i="1"/>
  <c r="A197" i="1" l="1"/>
  <c r="P196" i="1"/>
  <c r="P197" i="1" l="1"/>
  <c r="A198" i="1"/>
  <c r="A199" i="1" l="1"/>
  <c r="P198" i="1"/>
  <c r="P199" i="1" l="1"/>
  <c r="A200" i="1"/>
  <c r="P200" i="1" l="1"/>
  <c r="A201" i="1"/>
  <c r="A202" i="1" l="1"/>
  <c r="P201" i="1"/>
  <c r="P202" i="1" l="1"/>
  <c r="A203" i="1"/>
  <c r="A204" i="1" l="1"/>
  <c r="P203" i="1"/>
  <c r="P204" i="1" l="1"/>
  <c r="A205" i="1"/>
  <c r="A206" i="1" l="1"/>
  <c r="P205" i="1"/>
  <c r="A207" i="1" l="1"/>
  <c r="P206" i="1"/>
  <c r="P207" i="1" l="1"/>
  <c r="A208" i="1"/>
  <c r="P208" i="1" l="1"/>
  <c r="A209" i="1"/>
  <c r="P209" i="1" l="1"/>
  <c r="T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C5DBDE-2BF0-4C07-9BEF-AB5AADA3EE31}" keepAlive="1" name="Запрос — RecommendationsRegister" description="Соединение с запросом &quot;RecommendationsRegister&quot; в книге." type="5" refreshedVersion="0" background="1">
    <dbPr connection="Provider=Microsoft.Mashup.OleDb.1;Data Source=$Workbook$;Location=RecommendationsRegister;Extended Properties=&quot;&quot;" command="SELECT * FROM [RecommendationsRegister]"/>
  </connection>
</connections>
</file>

<file path=xl/sharedStrings.xml><?xml version="1.0" encoding="utf-8"?>
<sst xmlns="http://schemas.openxmlformats.org/spreadsheetml/2006/main" count="79" uniqueCount="65">
  <si>
    <t>ЕДИНЫЙ РЕЕСТР МЕРОПРИЯТИЙ / РЕЕСТР ВЫДАННЫХ РЕКОМЕНДАЦИЙ</t>
  </si>
  <si>
    <t>Одна строка = одна инженерно-техническая рекомендация. Реестр используется для регистрации, контроля рассмотрения и сопровождения мероприятий.</t>
  </si>
  <si>
    <t>ВСЕГО РЕКОМЕНДАЦИЙ</t>
  </si>
  <si>
    <t>НА РАССМОТРЕНИИ</t>
  </si>
  <si>
    <t>СОГЛАСОВАНО</t>
  </si>
  <si>
    <t>РЕАЛИЗОВАНО</t>
  </si>
  <si>
    <t>ПРОСРОЧЕН ОТВЕТ</t>
  </si>
  <si>
    <t>ID мероприятия</t>
  </si>
  <si>
    <t>Дата формирования</t>
  </si>
  <si>
    <t>Направление</t>
  </si>
  <si>
    <t>Скважина</t>
  </si>
  <si>
    <t>Проблема / отклонение</t>
  </si>
  <si>
    <t>Рекомендуемое мероприятие</t>
  </si>
  <si>
    <t>Приоритет</t>
  </si>
  <si>
    <t>Ответственный Исполнителя</t>
  </si>
  <si>
    <t>Текущий статус</t>
  </si>
  <si>
    <t>Дата/время передачи Заказчику</t>
  </si>
  <si>
    <t>Дата/время обратной связи</t>
  </si>
  <si>
    <t>Контроль ответа</t>
  </si>
  <si>
    <t>Решение Заказчика</t>
  </si>
  <si>
    <t>Ответственный Заказчика</t>
  </si>
  <si>
    <t>Комментарий</t>
  </si>
  <si>
    <t>Направления</t>
  </si>
  <si>
    <t>Статус мероприятия</t>
  </si>
  <si>
    <t>Эксплуатация механизированного фонда</t>
  </si>
  <si>
    <t>I — высокий</t>
  </si>
  <si>
    <t>Зарегистрировано</t>
  </si>
  <si>
    <t>Принята</t>
  </si>
  <si>
    <t>Стабилизация режимов работы ГНО</t>
  </si>
  <si>
    <t>II — повышенный</t>
  </si>
  <si>
    <t>Передано Заказчику</t>
  </si>
  <si>
    <t>Отклонена</t>
  </si>
  <si>
    <t>Сопровождение периодического фонда скважин</t>
  </si>
  <si>
    <t>III — стандартный</t>
  </si>
  <si>
    <t>На рассмотрении</t>
  </si>
  <si>
    <t>Требует уточнения</t>
  </si>
  <si>
    <t>Повышение энергетической эффективности</t>
  </si>
  <si>
    <t>Согласовано к реализации</t>
  </si>
  <si>
    <t>Сокращение внутрисменных простоев</t>
  </si>
  <si>
    <t>Отклонено</t>
  </si>
  <si>
    <t>Сопровождение осложненного фонда скважин</t>
  </si>
  <si>
    <t>Реализуется</t>
  </si>
  <si>
    <t>Реализовано</t>
  </si>
  <si>
    <t>Частично реализовано</t>
  </si>
  <si>
    <t>Открыто окно подтверждения эффекта</t>
  </si>
  <si>
    <t>Закрыто окно подтверждения эффекта</t>
  </si>
  <si>
    <t>Отменено</t>
  </si>
  <si>
    <t>Матросов</t>
  </si>
  <si>
    <t>Иванов</t>
  </si>
  <si>
    <t>ЦИТС</t>
  </si>
  <si>
    <t>Куст</t>
  </si>
  <si>
    <t>Технологическое обоснование рекомендации</t>
  </si>
  <si>
    <t>Ожидаемый срок обратной связи</t>
  </si>
  <si>
    <t>провести….</t>
  </si>
  <si>
    <t>Цикл работы…</t>
  </si>
  <si>
    <t>РЕАЛИЗУЕТСЯ</t>
  </si>
  <si>
    <t>Контроль срока ответа рассчитывается автоматически: приоритет I — 4 часа, II — 8 часов, III — 24 часов с момента передачи рекомендации Заказчику.</t>
  </si>
  <si>
    <t>Дата закрытия окна эффекта</t>
  </si>
  <si>
    <t>Дата открытия окна эффекта (дата фактического внедрения рекомендации)</t>
  </si>
  <si>
    <t>Ягун</t>
  </si>
  <si>
    <t>Тевлин</t>
  </si>
  <si>
    <t>Iхх</t>
  </si>
  <si>
    <t>Срывы подчи</t>
  </si>
  <si>
    <t>Петров</t>
  </si>
  <si>
    <t>Технологическое обоснование в случае уточнения/отклонения предложения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</si>
</sst>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dd\.mm\.yyyy"/>
  </numFmts>
  <fonts count="9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0"/>
      <color rgb="FF40504A"/>
      <name val="Carlito"/>
    </font>
    <font>
      <b/>
      <sz val="9"/>
      <color rgb="FF4B4B4B"/>
      <name val="Carlito"/>
    </font>
    <font>
      <b/>
      <sz val="18"/>
      <color rgb="FF1D1D1F"/>
      <name val="Carlito"/>
    </font>
    <font>
      <i/>
      <sz val="11"/>
      <color rgb="FF777777"/>
      <name val="Carlito"/>
    </font>
    <font>
      <i/>
      <sz val="9"/>
      <color rgb="FF665A3A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7A4D"/>
      </patternFill>
    </fill>
    <fill>
      <patternFill patternType="solid">
        <fgColor rgb="FFEAF4EE"/>
      </patternFill>
    </fill>
    <fill>
      <patternFill patternType="solid">
        <fgColor rgb="FFF4F6F5"/>
      </patternFill>
    </fill>
    <fill>
      <patternFill patternType="solid">
        <fgColor rgb="FFFFFFFF"/>
      </patternFill>
    </fill>
    <fill>
      <patternFill patternType="solid">
        <fgColor rgb="FFFFF8E6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39">
    <xf numFmtId="0" fontId="0" fillId="0" borderId="0" xfId="0"/>
    <xf numFmtId="0" fontId="1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0" fontId="7" fillId="6" borderId="0" xfId="1" applyFont="1" applyFill="1" applyAlignment="1">
      <alignment horizontal="left" vertical="center" wrapText="1"/>
    </xf>
    <xf numFmtId="0" fontId="5" fillId="5" borderId="0" xfId="1" applyFont="1" applyFill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 wrapText="1"/>
    </xf>
    <xf numFmtId="0" fontId="0" fillId="0" borderId="8" xfId="1" applyFont="1" applyBorder="1" applyAlignment="1">
      <alignment horizontal="center" vertical="center" wrapText="1"/>
    </xf>
    <xf numFmtId="164" fontId="0" fillId="0" borderId="9" xfId="1" applyNumberFormat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 wrapText="1"/>
    </xf>
    <xf numFmtId="165" fontId="0" fillId="0" borderId="9" xfId="1" applyNumberFormat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5" fillId="5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4" fillId="0" borderId="12" xfId="1" applyFont="1" applyFill="1" applyBorder="1" applyAlignment="1">
      <alignment vertical="center"/>
    </xf>
    <xf numFmtId="0" fontId="4" fillId="0" borderId="11" xfId="1" applyFont="1" applyFill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5" fillId="5" borderId="11" xfId="1" applyFont="1" applyFill="1" applyBorder="1" applyAlignment="1">
      <alignment vertical="center"/>
    </xf>
    <xf numFmtId="0" fontId="1" fillId="2" borderId="5" xfId="1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7" borderId="6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8" fillId="0" borderId="0" xfId="0" applyFont="1"/>
  </cellXfs>
  <cellStyles count="2">
    <cellStyle name="Normal" xfId="1" xr:uid="{00000000-0005-0000-0000-000000000000}"/>
    <cellStyle name="Обычный" xfId="0" builtinId="0"/>
  </cellStyles>
  <dxfs count="34">
    <dxf>
      <font>
        <strike val="0"/>
        <outline val="0"/>
        <shadow val="0"/>
        <u val="none"/>
        <vertAlign val="baseline"/>
        <sz val="11"/>
        <name val="Carlito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2458A6"/>
      </font>
      <fill>
        <patternFill patternType="solid">
          <bgColor rgb="FFEAF2FF"/>
        </patternFill>
      </fill>
    </dxf>
    <dxf>
      <font>
        <b/>
        <color rgb="FF217A43"/>
      </font>
      <fill>
        <patternFill patternType="solid">
          <bgColor rgb="FFEAF7EE"/>
        </patternFill>
      </fill>
    </dxf>
    <dxf>
      <font>
        <b/>
        <color rgb="FFB54708"/>
      </font>
      <fill>
        <patternFill patternType="solid">
          <bgColor rgb="FFFFF0E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color rgb="FF4A5550"/>
      </font>
      <fill>
        <patternFill>
          <bgColor rgb="FFF1F4F3"/>
        </patternFill>
      </fill>
    </dxf>
    <dxf>
      <font>
        <b/>
        <color rgb="FF8A5B00"/>
      </font>
      <fill>
        <patternFill>
          <bgColor rgb="FFFFF6E5"/>
        </patternFill>
      </fill>
    </dxf>
    <dxf>
      <font>
        <b/>
        <color rgb="FFB42318"/>
      </font>
      <fill>
        <patternFill>
          <bgColor rgb="FFFDECEC"/>
        </patternFill>
      </fill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47FF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ommendationsRegister" displayName="RecommendationsRegister" ref="A9:V209" headerRowDxfId="0" dataDxfId="33" totalsRowDxfId="9" headerRowBorderDxfId="31" tableBorderDxfId="32">
  <tableColumns count="22">
    <tableColumn id="1" xr3:uid="{00000000-0010-0000-0000-000001000000}" name="ID мероприятия" dataDxfId="30"/>
    <tableColumn id="2" xr3:uid="{00000000-0010-0000-0000-000002000000}" name="Дата формирования" dataDxfId="29"/>
    <tableColumn id="3" xr3:uid="{00000000-0010-0000-0000-000003000000}" name="Направление" dataDxfId="28"/>
    <tableColumn id="4" xr3:uid="{00000000-0010-0000-0000-000004000000}" name="ЦИТС" dataDxfId="27"/>
    <tableColumn id="21" xr3:uid="{99D7CE8E-9D61-4071-BFFB-D83301C95303}" name="Куст" dataDxfId="26" dataCellStyle="Normal"/>
    <tableColumn id="5" xr3:uid="{00000000-0010-0000-0000-000005000000}" name="Скважина" dataDxfId="25"/>
    <tableColumn id="6" xr3:uid="{00000000-0010-0000-0000-000006000000}" name="Проблема / отклонение" dataDxfId="24"/>
    <tableColumn id="7" xr3:uid="{00000000-0010-0000-0000-000007000000}" name="Рекомендуемое мероприятие" dataDxfId="23"/>
    <tableColumn id="22" xr3:uid="{F9516BEE-E461-46D6-AE25-EAD4039B16F6}" name="Технологическое обоснование рекомендации" dataDxfId="22" dataCellStyle="Normal"/>
    <tableColumn id="8" xr3:uid="{00000000-0010-0000-0000-000008000000}" name="Приоритет" dataDxfId="21"/>
    <tableColumn id="9" xr3:uid="{00000000-0010-0000-0000-000009000000}" name="Ответственный Исполнителя" dataDxfId="20"/>
    <tableColumn id="10" xr3:uid="{00000000-0010-0000-0000-00000A000000}" name="Текущий статус" dataDxfId="19"/>
    <tableColumn id="11" xr3:uid="{00000000-0010-0000-0000-00000B000000}" name="Дата/время передачи Заказчику" dataDxfId="18"/>
    <tableColumn id="12" xr3:uid="{00000000-0010-0000-0000-00000C000000}" name="Ожидаемый срок обратной связи" dataDxfId="17"/>
    <tableColumn id="13" xr3:uid="{00000000-0010-0000-0000-00000D000000}" name="Дата/время обратной связи" dataDxfId="16"/>
    <tableColumn id="14" xr3:uid="{00000000-0010-0000-0000-00000E000000}" name="Контроль ответа" dataDxfId="15"/>
    <tableColumn id="15" xr3:uid="{00000000-0010-0000-0000-00000F000000}" name="Решение Заказчика" dataDxfId="14"/>
    <tableColumn id="23" xr3:uid="{6BF33583-FBC6-4CF2-86D1-872B560B8436}" name="Технологическое обоснование в случае уточнения/отклонения предложения" dataDxfId="1" dataCellStyle="Normal"/>
    <tableColumn id="16" xr3:uid="{00000000-0010-0000-0000-000010000000}" name="Ответственный Заказчика" dataDxfId="13"/>
    <tableColumn id="17" xr3:uid="{00000000-0010-0000-0000-000011000000}" name="Дата открытия окна эффекта (дата фактического внедрения рекомендации)" dataDxfId="12"/>
    <tableColumn id="18" xr3:uid="{00000000-0010-0000-0000-000012000000}" name="Дата закрытия окна эффекта" dataDxfId="11"/>
    <tableColumn id="20" xr3:uid="{00000000-0010-0000-0000-000014000000}" name="Комментарий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9"/>
  <sheetViews>
    <sheetView tabSelected="1" zoomScale="70" zoomScaleNormal="70" workbookViewId="0">
      <selection activeCell="R15" sqref="R15"/>
    </sheetView>
  </sheetViews>
  <sheetFormatPr defaultRowHeight="14.25"/>
  <cols>
    <col min="1" max="1" width="14" customWidth="1"/>
    <col min="2" max="2" width="16" customWidth="1"/>
    <col min="3" max="3" width="30" customWidth="1"/>
    <col min="4" max="5" width="18" customWidth="1"/>
    <col min="6" max="6" width="12" customWidth="1"/>
    <col min="7" max="7" width="34" customWidth="1"/>
    <col min="8" max="9" width="38" customWidth="1"/>
    <col min="10" max="10" width="16" customWidth="1"/>
    <col min="11" max="11" width="22" customWidth="1"/>
    <col min="12" max="12" width="24" customWidth="1"/>
    <col min="13" max="15" width="20" customWidth="1"/>
    <col min="16" max="16" width="19" customWidth="1"/>
    <col min="17" max="17" width="18" customWidth="1"/>
    <col min="18" max="18" width="39.75" customWidth="1"/>
    <col min="19" max="19" width="22" customWidth="1"/>
    <col min="20" max="20" width="17.375" customWidth="1"/>
    <col min="21" max="21" width="18" customWidth="1"/>
    <col min="22" max="22" width="34" customWidth="1"/>
  </cols>
  <sheetData>
    <row r="1" spans="1:22" ht="27.9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7.9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0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5" spans="1:22">
      <c r="A5" s="4" t="s">
        <v>2</v>
      </c>
      <c r="B5" s="4"/>
      <c r="C5" s="4"/>
      <c r="F5" s="28"/>
      <c r="G5" s="13" t="s">
        <v>3</v>
      </c>
      <c r="H5" s="13"/>
      <c r="I5" s="13" t="s">
        <v>39</v>
      </c>
      <c r="J5" s="13"/>
      <c r="K5" s="13" t="s">
        <v>4</v>
      </c>
      <c r="L5" s="13"/>
      <c r="M5" s="13" t="s">
        <v>55</v>
      </c>
      <c r="N5" s="13"/>
      <c r="O5" s="13" t="s">
        <v>5</v>
      </c>
      <c r="P5" s="13"/>
      <c r="Q5" s="30"/>
      <c r="R5" s="28"/>
      <c r="S5" s="31"/>
      <c r="T5" s="7" t="s">
        <v>6</v>
      </c>
      <c r="U5" s="8"/>
      <c r="V5" s="9"/>
    </row>
    <row r="6" spans="1:22" ht="23.25">
      <c r="A6" s="6">
        <f>COUNTIF(F10:F209,"&lt;&gt;")</f>
        <v>2</v>
      </c>
      <c r="B6" s="6"/>
      <c r="C6" s="6"/>
      <c r="F6" s="29"/>
      <c r="G6" s="14">
        <f>COUNTIF(L10:L209,"На рассмотрении")</f>
        <v>1</v>
      </c>
      <c r="H6" s="14"/>
      <c r="I6" s="14">
        <f>COUNTIF(L10:L209,"Отклонено")</f>
        <v>0</v>
      </c>
      <c r="J6" s="14"/>
      <c r="K6" s="14">
        <f>COUNTIF(L10:L209,"Согласовано к реализации")</f>
        <v>0</v>
      </c>
      <c r="L6" s="14"/>
      <c r="M6" s="14">
        <f>COUNTIF(L10:L209,"Реализуется")+COUNTIF(L10:L209,"Открыто окно подтверждения эффекта")+COUNTIF(L10:L209,"Закрыто окно подтверждения эффекта")</f>
        <v>1</v>
      </c>
      <c r="N6" s="14"/>
      <c r="O6" s="14">
        <f>COUNTIF(L10:L209,"Реализовано")+COUNTIF(L10:L209,"Открыто окно подтверждения эффекта")+COUNTIF(L10:L209,"Закрыто окно подтверждения эффекта")</f>
        <v>0</v>
      </c>
      <c r="P6" s="14"/>
      <c r="Q6" s="32"/>
      <c r="R6" s="27"/>
      <c r="S6" s="33"/>
      <c r="T6" s="10">
        <f ca="1">COUNTIF(P10:P209,"ПРОСРОЧЕНО")</f>
        <v>0</v>
      </c>
      <c r="U6" s="11"/>
      <c r="V6" s="12"/>
    </row>
    <row r="7" spans="1:22" ht="23.25">
      <c r="A7" s="6"/>
      <c r="B7" s="6"/>
      <c r="C7" s="6"/>
      <c r="F7" s="29"/>
      <c r="G7" s="14"/>
      <c r="H7" s="14"/>
      <c r="I7" s="14"/>
      <c r="J7" s="14"/>
      <c r="K7" s="14"/>
      <c r="L7" s="14"/>
      <c r="M7" s="14"/>
      <c r="N7" s="14"/>
      <c r="O7" s="14"/>
      <c r="P7" s="14"/>
      <c r="Q7" s="32"/>
      <c r="R7" s="27"/>
      <c r="S7" s="33"/>
      <c r="T7" s="10"/>
      <c r="U7" s="11"/>
      <c r="V7" s="12"/>
    </row>
    <row r="8" spans="1:22" ht="27.95" customHeight="1">
      <c r="A8" s="5" t="s">
        <v>56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s="38" customFormat="1" ht="94.5" customHeight="1">
      <c r="A9" s="34" t="s">
        <v>7</v>
      </c>
      <c r="B9" s="35" t="s">
        <v>8</v>
      </c>
      <c r="C9" s="35" t="s">
        <v>9</v>
      </c>
      <c r="D9" s="35" t="s">
        <v>49</v>
      </c>
      <c r="E9" s="35" t="s">
        <v>50</v>
      </c>
      <c r="F9" s="35" t="s">
        <v>10</v>
      </c>
      <c r="G9" s="35" t="s">
        <v>11</v>
      </c>
      <c r="H9" s="35" t="s">
        <v>12</v>
      </c>
      <c r="I9" s="35" t="s">
        <v>51</v>
      </c>
      <c r="J9" s="35" t="s">
        <v>13</v>
      </c>
      <c r="K9" s="35" t="s">
        <v>14</v>
      </c>
      <c r="L9" s="35" t="s">
        <v>15</v>
      </c>
      <c r="M9" s="35" t="s">
        <v>16</v>
      </c>
      <c r="N9" s="35" t="s">
        <v>52</v>
      </c>
      <c r="O9" s="35" t="s">
        <v>17</v>
      </c>
      <c r="P9" s="35" t="s">
        <v>18</v>
      </c>
      <c r="Q9" s="36" t="s">
        <v>19</v>
      </c>
      <c r="R9" s="36" t="s">
        <v>64</v>
      </c>
      <c r="S9" s="36" t="s">
        <v>20</v>
      </c>
      <c r="T9" s="36" t="s">
        <v>58</v>
      </c>
      <c r="U9" s="35" t="s">
        <v>57</v>
      </c>
      <c r="V9" s="37" t="s">
        <v>21</v>
      </c>
    </row>
    <row r="10" spans="1:22" ht="33.950000000000003" customHeight="1">
      <c r="A10" s="15">
        <v>1</v>
      </c>
      <c r="B10" s="16">
        <v>46229</v>
      </c>
      <c r="C10" s="17" t="s">
        <v>24</v>
      </c>
      <c r="D10" s="17" t="s">
        <v>59</v>
      </c>
      <c r="E10" s="17">
        <v>15</v>
      </c>
      <c r="F10" s="17">
        <v>1546</v>
      </c>
      <c r="G10" s="17" t="s">
        <v>61</v>
      </c>
      <c r="H10" s="17" t="s">
        <v>53</v>
      </c>
      <c r="I10" s="17" t="s">
        <v>54</v>
      </c>
      <c r="J10" s="17" t="s">
        <v>29</v>
      </c>
      <c r="K10" s="17" t="s">
        <v>47</v>
      </c>
      <c r="L10" s="18" t="s">
        <v>41</v>
      </c>
      <c r="M10" s="16">
        <v>46229.541666666664</v>
      </c>
      <c r="N10" s="16">
        <f>IF(M10="","",IF(LEFT(J10,3)="III",M10+24/24,IF(LEFT(J10,2)="II",M10+8/24,IF(LEFT(J10,1)="I",M10+4/24,""))))</f>
        <v>46229.875</v>
      </c>
      <c r="O10" s="16">
        <v>46229.625</v>
      </c>
      <c r="P10" s="17" t="str">
        <f t="shared" ref="P10:P41" ca="1" si="0">IF(A10="","",IF(N10="","НЕТ СРОКА",IF(O10&lt;&gt;"",IF(O10&lt;=N10,"ПОЛУЧЕН В СРОК","ПОЛУЧЕН С ПРОСРОЧКОЙ"),IF(NOW()&gt;N10,"ПРОСРОЧЕНО","ОЖИДАЕТСЯ"))))</f>
        <v>ПОЛУЧЕН В СРОК</v>
      </c>
      <c r="Q10" s="17" t="s">
        <v>27</v>
      </c>
      <c r="R10" s="17"/>
      <c r="S10" s="17" t="s">
        <v>48</v>
      </c>
      <c r="T10" s="19"/>
      <c r="U10" s="19"/>
      <c r="V10" s="20"/>
    </row>
    <row r="11" spans="1:22" ht="33.950000000000003" customHeight="1">
      <c r="A11" s="21">
        <f>A10+1</f>
        <v>2</v>
      </c>
      <c r="B11" s="16">
        <v>46234</v>
      </c>
      <c r="C11" s="17" t="s">
        <v>28</v>
      </c>
      <c r="D11" s="17" t="s">
        <v>60</v>
      </c>
      <c r="E11" s="17">
        <v>32</v>
      </c>
      <c r="F11" s="17">
        <v>3210</v>
      </c>
      <c r="G11" s="17" t="s">
        <v>62</v>
      </c>
      <c r="H11" s="17" t="s">
        <v>53</v>
      </c>
      <c r="I11" s="17" t="s">
        <v>54</v>
      </c>
      <c r="J11" s="17" t="s">
        <v>25</v>
      </c>
      <c r="K11" s="17" t="s">
        <v>47</v>
      </c>
      <c r="L11" s="17" t="s">
        <v>34</v>
      </c>
      <c r="M11" s="16">
        <v>46234.458333333336</v>
      </c>
      <c r="N11" s="16">
        <f t="shared" ref="N11:N41" si="1">IF(M11="","",IF(LEFT(J11,3)="III",M11+6/24,IF(LEFT(J11,2)="II",M11+5/24,IF(LEFT(J11,1)="I",M11+3/24,""))))</f>
        <v>46234.583333333336</v>
      </c>
      <c r="O11" s="16">
        <v>46234.541666666664</v>
      </c>
      <c r="P11" s="17" t="str">
        <f t="shared" ca="1" si="0"/>
        <v>ПОЛУЧЕН В СРОК</v>
      </c>
      <c r="Q11" s="17" t="s">
        <v>35</v>
      </c>
      <c r="R11" s="17"/>
      <c r="S11" s="17" t="s">
        <v>63</v>
      </c>
      <c r="T11" s="19"/>
      <c r="U11" s="19"/>
      <c r="V11" s="20"/>
    </row>
    <row r="12" spans="1:22" ht="33.950000000000003" customHeight="1">
      <c r="A12" s="21">
        <f t="shared" ref="A12:A75" si="2">A11+1</f>
        <v>3</v>
      </c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6"/>
      <c r="N12" s="16" t="str">
        <f t="shared" si="1"/>
        <v/>
      </c>
      <c r="O12" s="16"/>
      <c r="P12" s="17" t="str">
        <f t="shared" ca="1" si="0"/>
        <v>НЕТ СРОКА</v>
      </c>
      <c r="Q12" s="17"/>
      <c r="R12" s="17"/>
      <c r="S12" s="17"/>
      <c r="T12" s="19"/>
      <c r="U12" s="19"/>
      <c r="V12" s="20"/>
    </row>
    <row r="13" spans="1:22" ht="33.950000000000003" customHeight="1">
      <c r="A13" s="21">
        <f t="shared" si="2"/>
        <v>4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6"/>
      <c r="N13" s="16" t="str">
        <f t="shared" si="1"/>
        <v/>
      </c>
      <c r="O13" s="16"/>
      <c r="P13" s="17" t="str">
        <f t="shared" ca="1" si="0"/>
        <v>НЕТ СРОКА</v>
      </c>
      <c r="Q13" s="17"/>
      <c r="R13" s="17"/>
      <c r="S13" s="17"/>
      <c r="T13" s="19"/>
      <c r="U13" s="19"/>
      <c r="V13" s="20"/>
    </row>
    <row r="14" spans="1:22" ht="33.950000000000003" customHeight="1">
      <c r="A14" s="21">
        <f t="shared" si="2"/>
        <v>5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6"/>
      <c r="N14" s="16" t="str">
        <f t="shared" si="1"/>
        <v/>
      </c>
      <c r="O14" s="16"/>
      <c r="P14" s="17" t="str">
        <f t="shared" ca="1" si="0"/>
        <v>НЕТ СРОКА</v>
      </c>
      <c r="Q14" s="17"/>
      <c r="R14" s="17"/>
      <c r="S14" s="17"/>
      <c r="T14" s="19"/>
      <c r="U14" s="19"/>
      <c r="V14" s="20"/>
    </row>
    <row r="15" spans="1:22" ht="33.950000000000003" customHeight="1">
      <c r="A15" s="21">
        <f t="shared" si="2"/>
        <v>6</v>
      </c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6"/>
      <c r="N15" s="16" t="str">
        <f t="shared" si="1"/>
        <v/>
      </c>
      <c r="O15" s="16"/>
      <c r="P15" s="17" t="str">
        <f t="shared" ca="1" si="0"/>
        <v>НЕТ СРОКА</v>
      </c>
      <c r="Q15" s="17"/>
      <c r="R15" s="17"/>
      <c r="S15" s="17"/>
      <c r="T15" s="19"/>
      <c r="U15" s="19"/>
      <c r="V15" s="20"/>
    </row>
    <row r="16" spans="1:22" ht="33.950000000000003" customHeight="1">
      <c r="A16" s="21">
        <f t="shared" si="2"/>
        <v>7</v>
      </c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6"/>
      <c r="N16" s="16" t="str">
        <f t="shared" si="1"/>
        <v/>
      </c>
      <c r="O16" s="16"/>
      <c r="P16" s="17" t="str">
        <f t="shared" ca="1" si="0"/>
        <v>НЕТ СРОКА</v>
      </c>
      <c r="Q16" s="17"/>
      <c r="R16" s="17"/>
      <c r="S16" s="17"/>
      <c r="T16" s="19"/>
      <c r="U16" s="19"/>
      <c r="V16" s="20"/>
    </row>
    <row r="17" spans="1:22" ht="33.950000000000003" customHeight="1">
      <c r="A17" s="21">
        <f t="shared" si="2"/>
        <v>8</v>
      </c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6"/>
      <c r="N17" s="16" t="str">
        <f t="shared" si="1"/>
        <v/>
      </c>
      <c r="O17" s="16"/>
      <c r="P17" s="17" t="str">
        <f t="shared" ca="1" si="0"/>
        <v>НЕТ СРОКА</v>
      </c>
      <c r="Q17" s="17"/>
      <c r="R17" s="17"/>
      <c r="S17" s="17"/>
      <c r="T17" s="19"/>
      <c r="U17" s="19"/>
      <c r="V17" s="20"/>
    </row>
    <row r="18" spans="1:22" ht="33.950000000000003" customHeight="1">
      <c r="A18" s="21">
        <f t="shared" si="2"/>
        <v>9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6"/>
      <c r="N18" s="16" t="str">
        <f t="shared" si="1"/>
        <v/>
      </c>
      <c r="O18" s="16"/>
      <c r="P18" s="17" t="str">
        <f t="shared" ca="1" si="0"/>
        <v>НЕТ СРОКА</v>
      </c>
      <c r="Q18" s="17"/>
      <c r="R18" s="17"/>
      <c r="S18" s="17"/>
      <c r="T18" s="19"/>
      <c r="U18" s="19"/>
      <c r="V18" s="20"/>
    </row>
    <row r="19" spans="1:22" ht="33.950000000000003" customHeight="1">
      <c r="A19" s="21">
        <f t="shared" si="2"/>
        <v>10</v>
      </c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/>
      <c r="N19" s="16" t="str">
        <f t="shared" si="1"/>
        <v/>
      </c>
      <c r="O19" s="16"/>
      <c r="P19" s="17" t="str">
        <f t="shared" ca="1" si="0"/>
        <v>НЕТ СРОКА</v>
      </c>
      <c r="Q19" s="17"/>
      <c r="R19" s="17"/>
      <c r="S19" s="17"/>
      <c r="T19" s="19"/>
      <c r="U19" s="19"/>
      <c r="V19" s="20"/>
    </row>
    <row r="20" spans="1:22" ht="33.950000000000003" customHeight="1">
      <c r="A20" s="21">
        <f t="shared" si="2"/>
        <v>11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6"/>
      <c r="N20" s="16" t="str">
        <f t="shared" si="1"/>
        <v/>
      </c>
      <c r="O20" s="16"/>
      <c r="P20" s="17" t="str">
        <f t="shared" ca="1" si="0"/>
        <v>НЕТ СРОКА</v>
      </c>
      <c r="Q20" s="17"/>
      <c r="R20" s="17"/>
      <c r="S20" s="17"/>
      <c r="T20" s="19"/>
      <c r="U20" s="19"/>
      <c r="V20" s="20"/>
    </row>
    <row r="21" spans="1:22" ht="33.950000000000003" customHeight="1">
      <c r="A21" s="21">
        <f t="shared" si="2"/>
        <v>12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6"/>
      <c r="N21" s="16" t="str">
        <f t="shared" si="1"/>
        <v/>
      </c>
      <c r="O21" s="16"/>
      <c r="P21" s="17" t="str">
        <f t="shared" ca="1" si="0"/>
        <v>НЕТ СРОКА</v>
      </c>
      <c r="Q21" s="17"/>
      <c r="R21" s="17"/>
      <c r="S21" s="17"/>
      <c r="T21" s="19"/>
      <c r="U21" s="19"/>
      <c r="V21" s="20"/>
    </row>
    <row r="22" spans="1:22" ht="33.950000000000003" customHeight="1">
      <c r="A22" s="21">
        <f t="shared" si="2"/>
        <v>13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/>
      <c r="N22" s="16" t="str">
        <f t="shared" si="1"/>
        <v/>
      </c>
      <c r="O22" s="16"/>
      <c r="P22" s="17" t="str">
        <f t="shared" ca="1" si="0"/>
        <v>НЕТ СРОКА</v>
      </c>
      <c r="Q22" s="17"/>
      <c r="R22" s="17"/>
      <c r="S22" s="17"/>
      <c r="T22" s="19"/>
      <c r="U22" s="19"/>
      <c r="V22" s="20"/>
    </row>
    <row r="23" spans="1:22" ht="33.950000000000003" customHeight="1">
      <c r="A23" s="21">
        <f t="shared" si="2"/>
        <v>14</v>
      </c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/>
      <c r="N23" s="16" t="str">
        <f t="shared" si="1"/>
        <v/>
      </c>
      <c r="O23" s="16"/>
      <c r="P23" s="17" t="str">
        <f t="shared" ca="1" si="0"/>
        <v>НЕТ СРОКА</v>
      </c>
      <c r="Q23" s="17"/>
      <c r="R23" s="17"/>
      <c r="S23" s="17"/>
      <c r="T23" s="19"/>
      <c r="U23" s="19"/>
      <c r="V23" s="20"/>
    </row>
    <row r="24" spans="1:22" ht="33.950000000000003" customHeight="1">
      <c r="A24" s="21">
        <f t="shared" si="2"/>
        <v>15</v>
      </c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6"/>
      <c r="N24" s="16" t="str">
        <f t="shared" si="1"/>
        <v/>
      </c>
      <c r="O24" s="16"/>
      <c r="P24" s="17" t="str">
        <f t="shared" ca="1" si="0"/>
        <v>НЕТ СРОКА</v>
      </c>
      <c r="Q24" s="17"/>
      <c r="R24" s="17"/>
      <c r="S24" s="17"/>
      <c r="T24" s="19"/>
      <c r="U24" s="19"/>
      <c r="V24" s="20"/>
    </row>
    <row r="25" spans="1:22" ht="33.950000000000003" customHeight="1">
      <c r="A25" s="21">
        <f t="shared" si="2"/>
        <v>16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6"/>
      <c r="N25" s="16" t="str">
        <f t="shared" si="1"/>
        <v/>
      </c>
      <c r="O25" s="16"/>
      <c r="P25" s="17" t="str">
        <f t="shared" ca="1" si="0"/>
        <v>НЕТ СРОКА</v>
      </c>
      <c r="Q25" s="17"/>
      <c r="R25" s="17"/>
      <c r="S25" s="17"/>
      <c r="T25" s="19"/>
      <c r="U25" s="19"/>
      <c r="V25" s="20"/>
    </row>
    <row r="26" spans="1:22" ht="33.950000000000003" customHeight="1">
      <c r="A26" s="21">
        <f t="shared" si="2"/>
        <v>17</v>
      </c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6"/>
      <c r="N26" s="16" t="str">
        <f t="shared" si="1"/>
        <v/>
      </c>
      <c r="O26" s="16"/>
      <c r="P26" s="17" t="str">
        <f t="shared" ca="1" si="0"/>
        <v>НЕТ СРОКА</v>
      </c>
      <c r="Q26" s="17"/>
      <c r="R26" s="17"/>
      <c r="S26" s="17"/>
      <c r="T26" s="19"/>
      <c r="U26" s="19"/>
      <c r="V26" s="20"/>
    </row>
    <row r="27" spans="1:22" ht="33.950000000000003" customHeight="1">
      <c r="A27" s="21">
        <f t="shared" si="2"/>
        <v>18</v>
      </c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6"/>
      <c r="N27" s="16" t="str">
        <f t="shared" si="1"/>
        <v/>
      </c>
      <c r="O27" s="16"/>
      <c r="P27" s="17" t="str">
        <f t="shared" ca="1" si="0"/>
        <v>НЕТ СРОКА</v>
      </c>
      <c r="Q27" s="17"/>
      <c r="R27" s="17"/>
      <c r="S27" s="17"/>
      <c r="T27" s="19"/>
      <c r="U27" s="19"/>
      <c r="V27" s="20"/>
    </row>
    <row r="28" spans="1:22" ht="33.950000000000003" customHeight="1">
      <c r="A28" s="21">
        <f t="shared" si="2"/>
        <v>19</v>
      </c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6"/>
      <c r="N28" s="16" t="str">
        <f t="shared" si="1"/>
        <v/>
      </c>
      <c r="O28" s="16"/>
      <c r="P28" s="17" t="str">
        <f t="shared" ca="1" si="0"/>
        <v>НЕТ СРОКА</v>
      </c>
      <c r="Q28" s="17"/>
      <c r="R28" s="17"/>
      <c r="S28" s="17"/>
      <c r="T28" s="19"/>
      <c r="U28" s="19"/>
      <c r="V28" s="20"/>
    </row>
    <row r="29" spans="1:22" ht="33.950000000000003" customHeight="1">
      <c r="A29" s="21">
        <f t="shared" si="2"/>
        <v>20</v>
      </c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6"/>
      <c r="N29" s="16" t="str">
        <f t="shared" si="1"/>
        <v/>
      </c>
      <c r="O29" s="16"/>
      <c r="P29" s="17" t="str">
        <f t="shared" ca="1" si="0"/>
        <v>НЕТ СРОКА</v>
      </c>
      <c r="Q29" s="17"/>
      <c r="R29" s="17"/>
      <c r="S29" s="17"/>
      <c r="T29" s="19"/>
      <c r="U29" s="19"/>
      <c r="V29" s="20"/>
    </row>
    <row r="30" spans="1:22" ht="33.950000000000003" customHeight="1">
      <c r="A30" s="21">
        <f t="shared" si="2"/>
        <v>21</v>
      </c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6"/>
      <c r="N30" s="16" t="str">
        <f t="shared" si="1"/>
        <v/>
      </c>
      <c r="O30" s="16"/>
      <c r="P30" s="17" t="str">
        <f t="shared" ca="1" si="0"/>
        <v>НЕТ СРОКА</v>
      </c>
      <c r="Q30" s="17"/>
      <c r="R30" s="17"/>
      <c r="S30" s="17"/>
      <c r="T30" s="19"/>
      <c r="U30" s="19"/>
      <c r="V30" s="20"/>
    </row>
    <row r="31" spans="1:22" ht="33.950000000000003" customHeight="1">
      <c r="A31" s="21">
        <f t="shared" si="2"/>
        <v>22</v>
      </c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6"/>
      <c r="N31" s="16" t="str">
        <f t="shared" si="1"/>
        <v/>
      </c>
      <c r="O31" s="16"/>
      <c r="P31" s="17" t="str">
        <f t="shared" ca="1" si="0"/>
        <v>НЕТ СРОКА</v>
      </c>
      <c r="Q31" s="17"/>
      <c r="R31" s="17"/>
      <c r="S31" s="17"/>
      <c r="T31" s="19"/>
      <c r="U31" s="19"/>
      <c r="V31" s="20"/>
    </row>
    <row r="32" spans="1:22" ht="33.950000000000003" customHeight="1">
      <c r="A32" s="21">
        <f t="shared" si="2"/>
        <v>23</v>
      </c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6"/>
      <c r="N32" s="16" t="str">
        <f t="shared" si="1"/>
        <v/>
      </c>
      <c r="O32" s="16"/>
      <c r="P32" s="17" t="str">
        <f t="shared" ca="1" si="0"/>
        <v>НЕТ СРОКА</v>
      </c>
      <c r="Q32" s="17"/>
      <c r="R32" s="17"/>
      <c r="S32" s="17"/>
      <c r="T32" s="19"/>
      <c r="U32" s="19"/>
      <c r="V32" s="20"/>
    </row>
    <row r="33" spans="1:22" ht="33.950000000000003" customHeight="1">
      <c r="A33" s="21">
        <f t="shared" si="2"/>
        <v>24</v>
      </c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6"/>
      <c r="N33" s="16" t="str">
        <f t="shared" si="1"/>
        <v/>
      </c>
      <c r="O33" s="16"/>
      <c r="P33" s="17" t="str">
        <f t="shared" ca="1" si="0"/>
        <v>НЕТ СРОКА</v>
      </c>
      <c r="Q33" s="17"/>
      <c r="R33" s="17"/>
      <c r="S33" s="17"/>
      <c r="T33" s="19"/>
      <c r="U33" s="19"/>
      <c r="V33" s="20"/>
    </row>
    <row r="34" spans="1:22" ht="33.950000000000003" customHeight="1">
      <c r="A34" s="21">
        <f t="shared" si="2"/>
        <v>25</v>
      </c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6"/>
      <c r="N34" s="16" t="str">
        <f t="shared" si="1"/>
        <v/>
      </c>
      <c r="O34" s="16"/>
      <c r="P34" s="17" t="str">
        <f t="shared" ca="1" si="0"/>
        <v>НЕТ СРОКА</v>
      </c>
      <c r="Q34" s="17"/>
      <c r="R34" s="17"/>
      <c r="S34" s="17"/>
      <c r="T34" s="19"/>
      <c r="U34" s="19"/>
      <c r="V34" s="20"/>
    </row>
    <row r="35" spans="1:22" ht="33.950000000000003" customHeight="1">
      <c r="A35" s="21">
        <f t="shared" si="2"/>
        <v>26</v>
      </c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6"/>
      <c r="N35" s="16" t="str">
        <f t="shared" si="1"/>
        <v/>
      </c>
      <c r="O35" s="16"/>
      <c r="P35" s="17" t="str">
        <f t="shared" ca="1" si="0"/>
        <v>НЕТ СРОКА</v>
      </c>
      <c r="Q35" s="17"/>
      <c r="R35" s="17"/>
      <c r="S35" s="17"/>
      <c r="T35" s="19"/>
      <c r="U35" s="19"/>
      <c r="V35" s="20"/>
    </row>
    <row r="36" spans="1:22" ht="33.950000000000003" customHeight="1">
      <c r="A36" s="21">
        <f t="shared" si="2"/>
        <v>27</v>
      </c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6"/>
      <c r="N36" s="16" t="str">
        <f t="shared" si="1"/>
        <v/>
      </c>
      <c r="O36" s="16"/>
      <c r="P36" s="17" t="str">
        <f t="shared" ca="1" si="0"/>
        <v>НЕТ СРОКА</v>
      </c>
      <c r="Q36" s="17"/>
      <c r="R36" s="17"/>
      <c r="S36" s="17"/>
      <c r="T36" s="19"/>
      <c r="U36" s="19"/>
      <c r="V36" s="20"/>
    </row>
    <row r="37" spans="1:22" ht="33.950000000000003" customHeight="1">
      <c r="A37" s="21">
        <f t="shared" si="2"/>
        <v>28</v>
      </c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6"/>
      <c r="N37" s="16" t="str">
        <f t="shared" si="1"/>
        <v/>
      </c>
      <c r="O37" s="16"/>
      <c r="P37" s="17" t="str">
        <f t="shared" ca="1" si="0"/>
        <v>НЕТ СРОКА</v>
      </c>
      <c r="Q37" s="17"/>
      <c r="R37" s="17"/>
      <c r="S37" s="17"/>
      <c r="T37" s="19"/>
      <c r="U37" s="19"/>
      <c r="V37" s="20"/>
    </row>
    <row r="38" spans="1:22" ht="33.950000000000003" customHeight="1">
      <c r="A38" s="21">
        <f t="shared" si="2"/>
        <v>29</v>
      </c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6"/>
      <c r="N38" s="16" t="str">
        <f t="shared" si="1"/>
        <v/>
      </c>
      <c r="O38" s="16"/>
      <c r="P38" s="17" t="str">
        <f t="shared" ca="1" si="0"/>
        <v>НЕТ СРОКА</v>
      </c>
      <c r="Q38" s="17"/>
      <c r="R38" s="17"/>
      <c r="S38" s="17"/>
      <c r="T38" s="19"/>
      <c r="U38" s="19"/>
      <c r="V38" s="20"/>
    </row>
    <row r="39" spans="1:22" ht="33.950000000000003" customHeight="1">
      <c r="A39" s="21">
        <f t="shared" si="2"/>
        <v>30</v>
      </c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6"/>
      <c r="N39" s="16" t="str">
        <f t="shared" si="1"/>
        <v/>
      </c>
      <c r="O39" s="16"/>
      <c r="P39" s="17" t="str">
        <f t="shared" ca="1" si="0"/>
        <v>НЕТ СРОКА</v>
      </c>
      <c r="Q39" s="17"/>
      <c r="R39" s="17"/>
      <c r="S39" s="17"/>
      <c r="T39" s="19"/>
      <c r="U39" s="19"/>
      <c r="V39" s="20"/>
    </row>
    <row r="40" spans="1:22" ht="33.950000000000003" customHeight="1">
      <c r="A40" s="21">
        <f t="shared" si="2"/>
        <v>31</v>
      </c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6"/>
      <c r="N40" s="16" t="str">
        <f t="shared" si="1"/>
        <v/>
      </c>
      <c r="O40" s="16"/>
      <c r="P40" s="17" t="str">
        <f t="shared" ca="1" si="0"/>
        <v>НЕТ СРОКА</v>
      </c>
      <c r="Q40" s="17"/>
      <c r="R40" s="17"/>
      <c r="S40" s="17"/>
      <c r="T40" s="19"/>
      <c r="U40" s="19"/>
      <c r="V40" s="20"/>
    </row>
    <row r="41" spans="1:22" ht="33.950000000000003" customHeight="1">
      <c r="A41" s="21">
        <f t="shared" si="2"/>
        <v>32</v>
      </c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6"/>
      <c r="N41" s="16" t="str">
        <f t="shared" si="1"/>
        <v/>
      </c>
      <c r="O41" s="16"/>
      <c r="P41" s="17" t="str">
        <f t="shared" ca="1" si="0"/>
        <v>НЕТ СРОКА</v>
      </c>
      <c r="Q41" s="17"/>
      <c r="R41" s="17"/>
      <c r="S41" s="17"/>
      <c r="T41" s="19"/>
      <c r="U41" s="19"/>
      <c r="V41" s="20"/>
    </row>
    <row r="42" spans="1:22" ht="33.950000000000003" customHeight="1">
      <c r="A42" s="21">
        <f t="shared" si="2"/>
        <v>33</v>
      </c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6"/>
      <c r="N42" s="16" t="str">
        <f t="shared" ref="N42:N73" si="3">IF(M42="","",IF(LEFT(J42,3)="III",M42+6/24,IF(LEFT(J42,2)="II",M42+5/24,IF(LEFT(J42,1)="I",M42+3/24,""))))</f>
        <v/>
      </c>
      <c r="O42" s="16"/>
      <c r="P42" s="17" t="str">
        <f t="shared" ref="P42:P73" ca="1" si="4">IF(A42="","",IF(N42="","НЕТ СРОКА",IF(O42&lt;&gt;"",IF(O42&lt;=N42,"ПОЛУЧЕН В СРОК","ПОЛУЧЕН С ПРОСРОЧКОЙ"),IF(NOW()&gt;N42,"ПРОСРОЧЕНО","ОЖИДАЕТСЯ"))))</f>
        <v>НЕТ СРОКА</v>
      </c>
      <c r="Q42" s="17"/>
      <c r="R42" s="17"/>
      <c r="S42" s="17"/>
      <c r="T42" s="19"/>
      <c r="U42" s="19"/>
      <c r="V42" s="20"/>
    </row>
    <row r="43" spans="1:22" ht="33.950000000000003" customHeight="1">
      <c r="A43" s="21">
        <f t="shared" si="2"/>
        <v>34</v>
      </c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6"/>
      <c r="N43" s="16" t="str">
        <f t="shared" si="3"/>
        <v/>
      </c>
      <c r="O43" s="16"/>
      <c r="P43" s="17" t="str">
        <f t="shared" ca="1" si="4"/>
        <v>НЕТ СРОКА</v>
      </c>
      <c r="Q43" s="17"/>
      <c r="R43" s="17"/>
      <c r="S43" s="17"/>
      <c r="T43" s="19"/>
      <c r="U43" s="19"/>
      <c r="V43" s="20"/>
    </row>
    <row r="44" spans="1:22" ht="33.950000000000003" customHeight="1">
      <c r="A44" s="21">
        <f t="shared" si="2"/>
        <v>35</v>
      </c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6"/>
      <c r="N44" s="16" t="str">
        <f t="shared" si="3"/>
        <v/>
      </c>
      <c r="O44" s="16"/>
      <c r="P44" s="17" t="str">
        <f t="shared" ca="1" si="4"/>
        <v>НЕТ СРОКА</v>
      </c>
      <c r="Q44" s="17"/>
      <c r="R44" s="17"/>
      <c r="S44" s="17"/>
      <c r="T44" s="19"/>
      <c r="U44" s="19"/>
      <c r="V44" s="20"/>
    </row>
    <row r="45" spans="1:22" ht="33.950000000000003" customHeight="1">
      <c r="A45" s="21">
        <f t="shared" si="2"/>
        <v>36</v>
      </c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6"/>
      <c r="N45" s="16" t="str">
        <f t="shared" si="3"/>
        <v/>
      </c>
      <c r="O45" s="16"/>
      <c r="P45" s="17" t="str">
        <f t="shared" ca="1" si="4"/>
        <v>НЕТ СРОКА</v>
      </c>
      <c r="Q45" s="17"/>
      <c r="R45" s="17"/>
      <c r="S45" s="17"/>
      <c r="T45" s="19"/>
      <c r="U45" s="19"/>
      <c r="V45" s="20"/>
    </row>
    <row r="46" spans="1:22" ht="33.950000000000003" customHeight="1">
      <c r="A46" s="21">
        <f t="shared" si="2"/>
        <v>37</v>
      </c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6"/>
      <c r="N46" s="16" t="str">
        <f t="shared" si="3"/>
        <v/>
      </c>
      <c r="O46" s="16"/>
      <c r="P46" s="17" t="str">
        <f t="shared" ca="1" si="4"/>
        <v>НЕТ СРОКА</v>
      </c>
      <c r="Q46" s="17"/>
      <c r="R46" s="17"/>
      <c r="S46" s="17"/>
      <c r="T46" s="19"/>
      <c r="U46" s="19"/>
      <c r="V46" s="20"/>
    </row>
    <row r="47" spans="1:22" ht="33.950000000000003" customHeight="1">
      <c r="A47" s="21">
        <f t="shared" si="2"/>
        <v>38</v>
      </c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6"/>
      <c r="N47" s="16" t="str">
        <f t="shared" si="3"/>
        <v/>
      </c>
      <c r="O47" s="16"/>
      <c r="P47" s="17" t="str">
        <f t="shared" ca="1" si="4"/>
        <v>НЕТ СРОКА</v>
      </c>
      <c r="Q47" s="17"/>
      <c r="R47" s="17"/>
      <c r="S47" s="17"/>
      <c r="T47" s="19"/>
      <c r="U47" s="19"/>
      <c r="V47" s="20"/>
    </row>
    <row r="48" spans="1:22" ht="33.950000000000003" customHeight="1">
      <c r="A48" s="21">
        <f t="shared" si="2"/>
        <v>39</v>
      </c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6"/>
      <c r="N48" s="16" t="str">
        <f t="shared" si="3"/>
        <v/>
      </c>
      <c r="O48" s="16"/>
      <c r="P48" s="17" t="str">
        <f t="shared" ca="1" si="4"/>
        <v>НЕТ СРОКА</v>
      </c>
      <c r="Q48" s="17"/>
      <c r="R48" s="17"/>
      <c r="S48" s="17"/>
      <c r="T48" s="19"/>
      <c r="U48" s="19"/>
      <c r="V48" s="20"/>
    </row>
    <row r="49" spans="1:22" ht="33.950000000000003" customHeight="1">
      <c r="A49" s="21">
        <f t="shared" si="2"/>
        <v>40</v>
      </c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6"/>
      <c r="N49" s="16" t="str">
        <f t="shared" si="3"/>
        <v/>
      </c>
      <c r="O49" s="16"/>
      <c r="P49" s="17" t="str">
        <f t="shared" ca="1" si="4"/>
        <v>НЕТ СРОКА</v>
      </c>
      <c r="Q49" s="17"/>
      <c r="R49" s="17"/>
      <c r="S49" s="17"/>
      <c r="T49" s="19"/>
      <c r="U49" s="19"/>
      <c r="V49" s="20"/>
    </row>
    <row r="50" spans="1:22" ht="33.950000000000003" customHeight="1">
      <c r="A50" s="21">
        <f t="shared" si="2"/>
        <v>41</v>
      </c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6"/>
      <c r="N50" s="16" t="str">
        <f t="shared" si="3"/>
        <v/>
      </c>
      <c r="O50" s="16"/>
      <c r="P50" s="17" t="str">
        <f t="shared" ca="1" si="4"/>
        <v>НЕТ СРОКА</v>
      </c>
      <c r="Q50" s="17"/>
      <c r="R50" s="17"/>
      <c r="S50" s="17"/>
      <c r="T50" s="19"/>
      <c r="U50" s="19"/>
      <c r="V50" s="20"/>
    </row>
    <row r="51" spans="1:22" ht="33.950000000000003" customHeight="1">
      <c r="A51" s="21">
        <f t="shared" si="2"/>
        <v>42</v>
      </c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6"/>
      <c r="N51" s="16" t="str">
        <f t="shared" si="3"/>
        <v/>
      </c>
      <c r="O51" s="16"/>
      <c r="P51" s="17" t="str">
        <f t="shared" ca="1" si="4"/>
        <v>НЕТ СРОКА</v>
      </c>
      <c r="Q51" s="17"/>
      <c r="R51" s="17"/>
      <c r="S51" s="17"/>
      <c r="T51" s="19"/>
      <c r="U51" s="19"/>
      <c r="V51" s="20"/>
    </row>
    <row r="52" spans="1:22" ht="33.950000000000003" customHeight="1">
      <c r="A52" s="21">
        <f t="shared" si="2"/>
        <v>43</v>
      </c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6"/>
      <c r="N52" s="16" t="str">
        <f t="shared" si="3"/>
        <v/>
      </c>
      <c r="O52" s="16"/>
      <c r="P52" s="17" t="str">
        <f t="shared" ca="1" si="4"/>
        <v>НЕТ СРОКА</v>
      </c>
      <c r="Q52" s="17"/>
      <c r="R52" s="17"/>
      <c r="S52" s="17"/>
      <c r="T52" s="19"/>
      <c r="U52" s="19"/>
      <c r="V52" s="20"/>
    </row>
    <row r="53" spans="1:22" ht="33.950000000000003" customHeight="1">
      <c r="A53" s="21">
        <f t="shared" si="2"/>
        <v>44</v>
      </c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6"/>
      <c r="N53" s="16" t="str">
        <f t="shared" si="3"/>
        <v/>
      </c>
      <c r="O53" s="16"/>
      <c r="P53" s="17" t="str">
        <f t="shared" ca="1" si="4"/>
        <v>НЕТ СРОКА</v>
      </c>
      <c r="Q53" s="17"/>
      <c r="R53" s="17"/>
      <c r="S53" s="17"/>
      <c r="T53" s="19"/>
      <c r="U53" s="19"/>
      <c r="V53" s="20"/>
    </row>
    <row r="54" spans="1:22" ht="33.950000000000003" customHeight="1">
      <c r="A54" s="21">
        <f t="shared" si="2"/>
        <v>45</v>
      </c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6"/>
      <c r="N54" s="16" t="str">
        <f t="shared" si="3"/>
        <v/>
      </c>
      <c r="O54" s="16"/>
      <c r="P54" s="17" t="str">
        <f t="shared" ca="1" si="4"/>
        <v>НЕТ СРОКА</v>
      </c>
      <c r="Q54" s="17"/>
      <c r="R54" s="17"/>
      <c r="S54" s="17"/>
      <c r="T54" s="19"/>
      <c r="U54" s="19"/>
      <c r="V54" s="20"/>
    </row>
    <row r="55" spans="1:22" ht="33.950000000000003" customHeight="1">
      <c r="A55" s="21">
        <f t="shared" si="2"/>
        <v>46</v>
      </c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/>
      <c r="N55" s="16" t="str">
        <f t="shared" si="3"/>
        <v/>
      </c>
      <c r="O55" s="16"/>
      <c r="P55" s="17" t="str">
        <f t="shared" ca="1" si="4"/>
        <v>НЕТ СРОКА</v>
      </c>
      <c r="Q55" s="17"/>
      <c r="R55" s="17"/>
      <c r="S55" s="17"/>
      <c r="T55" s="19"/>
      <c r="U55" s="19"/>
      <c r="V55" s="20"/>
    </row>
    <row r="56" spans="1:22" ht="33.950000000000003" customHeight="1">
      <c r="A56" s="21">
        <f t="shared" si="2"/>
        <v>47</v>
      </c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6"/>
      <c r="N56" s="16" t="str">
        <f t="shared" si="3"/>
        <v/>
      </c>
      <c r="O56" s="16"/>
      <c r="P56" s="17" t="str">
        <f t="shared" ca="1" si="4"/>
        <v>НЕТ СРОКА</v>
      </c>
      <c r="Q56" s="17"/>
      <c r="R56" s="17"/>
      <c r="S56" s="17"/>
      <c r="T56" s="19"/>
      <c r="U56" s="19"/>
      <c r="V56" s="20"/>
    </row>
    <row r="57" spans="1:22" ht="33.950000000000003" customHeight="1">
      <c r="A57" s="21">
        <f t="shared" si="2"/>
        <v>48</v>
      </c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6"/>
      <c r="N57" s="16" t="str">
        <f t="shared" si="3"/>
        <v/>
      </c>
      <c r="O57" s="16"/>
      <c r="P57" s="17" t="str">
        <f t="shared" ca="1" si="4"/>
        <v>НЕТ СРОКА</v>
      </c>
      <c r="Q57" s="17"/>
      <c r="R57" s="17"/>
      <c r="S57" s="17"/>
      <c r="T57" s="19"/>
      <c r="U57" s="19"/>
      <c r="V57" s="20"/>
    </row>
    <row r="58" spans="1:22" ht="33.950000000000003" customHeight="1">
      <c r="A58" s="21">
        <f t="shared" si="2"/>
        <v>49</v>
      </c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6"/>
      <c r="N58" s="16" t="str">
        <f t="shared" si="3"/>
        <v/>
      </c>
      <c r="O58" s="16"/>
      <c r="P58" s="17" t="str">
        <f t="shared" ca="1" si="4"/>
        <v>НЕТ СРОКА</v>
      </c>
      <c r="Q58" s="17"/>
      <c r="R58" s="17"/>
      <c r="S58" s="17"/>
      <c r="T58" s="19"/>
      <c r="U58" s="19"/>
      <c r="V58" s="20"/>
    </row>
    <row r="59" spans="1:22" ht="33.950000000000003" customHeight="1">
      <c r="A59" s="21">
        <f t="shared" si="2"/>
        <v>50</v>
      </c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6"/>
      <c r="N59" s="16" t="str">
        <f t="shared" si="3"/>
        <v/>
      </c>
      <c r="O59" s="16"/>
      <c r="P59" s="17" t="str">
        <f t="shared" ca="1" si="4"/>
        <v>НЕТ СРОКА</v>
      </c>
      <c r="Q59" s="17"/>
      <c r="R59" s="17"/>
      <c r="S59" s="17"/>
      <c r="T59" s="19"/>
      <c r="U59" s="19"/>
      <c r="V59" s="20"/>
    </row>
    <row r="60" spans="1:22" ht="33.950000000000003" customHeight="1">
      <c r="A60" s="21">
        <f t="shared" si="2"/>
        <v>51</v>
      </c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6"/>
      <c r="N60" s="16" t="str">
        <f t="shared" si="3"/>
        <v/>
      </c>
      <c r="O60" s="16"/>
      <c r="P60" s="17" t="str">
        <f t="shared" ca="1" si="4"/>
        <v>НЕТ СРОКА</v>
      </c>
      <c r="Q60" s="17"/>
      <c r="R60" s="17"/>
      <c r="S60" s="17"/>
      <c r="T60" s="19"/>
      <c r="U60" s="19"/>
      <c r="V60" s="20"/>
    </row>
    <row r="61" spans="1:22" ht="33.950000000000003" customHeight="1">
      <c r="A61" s="21">
        <f t="shared" si="2"/>
        <v>52</v>
      </c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6"/>
      <c r="N61" s="16" t="str">
        <f t="shared" si="3"/>
        <v/>
      </c>
      <c r="O61" s="16"/>
      <c r="P61" s="17" t="str">
        <f t="shared" ca="1" si="4"/>
        <v>НЕТ СРОКА</v>
      </c>
      <c r="Q61" s="17"/>
      <c r="R61" s="17"/>
      <c r="S61" s="17"/>
      <c r="T61" s="19"/>
      <c r="U61" s="19"/>
      <c r="V61" s="20"/>
    </row>
    <row r="62" spans="1:22" ht="33.950000000000003" customHeight="1">
      <c r="A62" s="21">
        <f t="shared" si="2"/>
        <v>53</v>
      </c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6"/>
      <c r="N62" s="16" t="str">
        <f t="shared" si="3"/>
        <v/>
      </c>
      <c r="O62" s="16"/>
      <c r="P62" s="17" t="str">
        <f t="shared" ca="1" si="4"/>
        <v>НЕТ СРОКА</v>
      </c>
      <c r="Q62" s="17"/>
      <c r="R62" s="17"/>
      <c r="S62" s="17"/>
      <c r="T62" s="19"/>
      <c r="U62" s="19"/>
      <c r="V62" s="20"/>
    </row>
    <row r="63" spans="1:22" ht="33.950000000000003" customHeight="1">
      <c r="A63" s="21">
        <f t="shared" si="2"/>
        <v>54</v>
      </c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6"/>
      <c r="N63" s="16" t="str">
        <f t="shared" si="3"/>
        <v/>
      </c>
      <c r="O63" s="16"/>
      <c r="P63" s="17" t="str">
        <f t="shared" ca="1" si="4"/>
        <v>НЕТ СРОКА</v>
      </c>
      <c r="Q63" s="17"/>
      <c r="R63" s="17"/>
      <c r="S63" s="17"/>
      <c r="T63" s="19"/>
      <c r="U63" s="19"/>
      <c r="V63" s="20"/>
    </row>
    <row r="64" spans="1:22" ht="33.950000000000003" customHeight="1">
      <c r="A64" s="21">
        <f t="shared" si="2"/>
        <v>55</v>
      </c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6"/>
      <c r="N64" s="16" t="str">
        <f t="shared" si="3"/>
        <v/>
      </c>
      <c r="O64" s="16"/>
      <c r="P64" s="17" t="str">
        <f t="shared" ca="1" si="4"/>
        <v>НЕТ СРОКА</v>
      </c>
      <c r="Q64" s="17"/>
      <c r="R64" s="17"/>
      <c r="S64" s="17"/>
      <c r="T64" s="19"/>
      <c r="U64" s="19"/>
      <c r="V64" s="20"/>
    </row>
    <row r="65" spans="1:22" ht="33.950000000000003" customHeight="1">
      <c r="A65" s="21">
        <f t="shared" si="2"/>
        <v>56</v>
      </c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6"/>
      <c r="N65" s="16" t="str">
        <f t="shared" si="3"/>
        <v/>
      </c>
      <c r="O65" s="16"/>
      <c r="P65" s="17" t="str">
        <f t="shared" ca="1" si="4"/>
        <v>НЕТ СРОКА</v>
      </c>
      <c r="Q65" s="17"/>
      <c r="R65" s="17"/>
      <c r="S65" s="17"/>
      <c r="T65" s="19"/>
      <c r="U65" s="19"/>
      <c r="V65" s="20"/>
    </row>
    <row r="66" spans="1:22" ht="33.950000000000003" customHeight="1">
      <c r="A66" s="21">
        <f t="shared" si="2"/>
        <v>57</v>
      </c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6"/>
      <c r="N66" s="16" t="str">
        <f t="shared" si="3"/>
        <v/>
      </c>
      <c r="O66" s="16"/>
      <c r="P66" s="17" t="str">
        <f t="shared" ca="1" si="4"/>
        <v>НЕТ СРОКА</v>
      </c>
      <c r="Q66" s="17"/>
      <c r="R66" s="17"/>
      <c r="S66" s="17"/>
      <c r="T66" s="19"/>
      <c r="U66" s="19"/>
      <c r="V66" s="20"/>
    </row>
    <row r="67" spans="1:22" ht="33.950000000000003" customHeight="1">
      <c r="A67" s="21">
        <f t="shared" si="2"/>
        <v>58</v>
      </c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6"/>
      <c r="N67" s="16" t="str">
        <f t="shared" si="3"/>
        <v/>
      </c>
      <c r="O67" s="16"/>
      <c r="P67" s="17" t="str">
        <f t="shared" ca="1" si="4"/>
        <v>НЕТ СРОКА</v>
      </c>
      <c r="Q67" s="17"/>
      <c r="R67" s="17"/>
      <c r="S67" s="17"/>
      <c r="T67" s="19"/>
      <c r="U67" s="19"/>
      <c r="V67" s="20"/>
    </row>
    <row r="68" spans="1:22" ht="33.950000000000003" customHeight="1">
      <c r="A68" s="21">
        <f t="shared" si="2"/>
        <v>59</v>
      </c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6"/>
      <c r="N68" s="16" t="str">
        <f t="shared" si="3"/>
        <v/>
      </c>
      <c r="O68" s="16"/>
      <c r="P68" s="17" t="str">
        <f t="shared" ca="1" si="4"/>
        <v>НЕТ СРОКА</v>
      </c>
      <c r="Q68" s="17"/>
      <c r="R68" s="17"/>
      <c r="S68" s="17"/>
      <c r="T68" s="19"/>
      <c r="U68" s="19"/>
      <c r="V68" s="20"/>
    </row>
    <row r="69" spans="1:22" ht="33.950000000000003" customHeight="1">
      <c r="A69" s="21">
        <f t="shared" si="2"/>
        <v>60</v>
      </c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6"/>
      <c r="N69" s="16" t="str">
        <f t="shared" si="3"/>
        <v/>
      </c>
      <c r="O69" s="16"/>
      <c r="P69" s="17" t="str">
        <f t="shared" ca="1" si="4"/>
        <v>НЕТ СРОКА</v>
      </c>
      <c r="Q69" s="17"/>
      <c r="R69" s="17"/>
      <c r="S69" s="17"/>
      <c r="T69" s="19"/>
      <c r="U69" s="19"/>
      <c r="V69" s="20"/>
    </row>
    <row r="70" spans="1:22" ht="33.950000000000003" customHeight="1">
      <c r="A70" s="21">
        <f t="shared" si="2"/>
        <v>61</v>
      </c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6"/>
      <c r="N70" s="16" t="str">
        <f t="shared" si="3"/>
        <v/>
      </c>
      <c r="O70" s="16"/>
      <c r="P70" s="17" t="str">
        <f t="shared" ca="1" si="4"/>
        <v>НЕТ СРОКА</v>
      </c>
      <c r="Q70" s="17"/>
      <c r="R70" s="17"/>
      <c r="S70" s="17"/>
      <c r="T70" s="19"/>
      <c r="U70" s="19"/>
      <c r="V70" s="20"/>
    </row>
    <row r="71" spans="1:22" ht="33.950000000000003" customHeight="1">
      <c r="A71" s="21">
        <f t="shared" si="2"/>
        <v>62</v>
      </c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6"/>
      <c r="N71" s="16" t="str">
        <f t="shared" si="3"/>
        <v/>
      </c>
      <c r="O71" s="16"/>
      <c r="P71" s="17" t="str">
        <f t="shared" ca="1" si="4"/>
        <v>НЕТ СРОКА</v>
      </c>
      <c r="Q71" s="17"/>
      <c r="R71" s="17"/>
      <c r="S71" s="17"/>
      <c r="T71" s="19"/>
      <c r="U71" s="19"/>
      <c r="V71" s="20"/>
    </row>
    <row r="72" spans="1:22" ht="33.950000000000003" customHeight="1">
      <c r="A72" s="21">
        <f t="shared" si="2"/>
        <v>63</v>
      </c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6"/>
      <c r="N72" s="16" t="str">
        <f t="shared" si="3"/>
        <v/>
      </c>
      <c r="O72" s="16"/>
      <c r="P72" s="17" t="str">
        <f t="shared" ca="1" si="4"/>
        <v>НЕТ СРОКА</v>
      </c>
      <c r="Q72" s="17"/>
      <c r="R72" s="17"/>
      <c r="S72" s="17"/>
      <c r="T72" s="19"/>
      <c r="U72" s="19"/>
      <c r="V72" s="20"/>
    </row>
    <row r="73" spans="1:22" ht="33.950000000000003" customHeight="1">
      <c r="A73" s="21">
        <f t="shared" si="2"/>
        <v>64</v>
      </c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6"/>
      <c r="N73" s="16" t="str">
        <f t="shared" si="3"/>
        <v/>
      </c>
      <c r="O73" s="16"/>
      <c r="P73" s="17" t="str">
        <f t="shared" ca="1" si="4"/>
        <v>НЕТ СРОКА</v>
      </c>
      <c r="Q73" s="17"/>
      <c r="R73" s="17"/>
      <c r="S73" s="17"/>
      <c r="T73" s="19"/>
      <c r="U73" s="19"/>
      <c r="V73" s="20"/>
    </row>
    <row r="74" spans="1:22" ht="33.950000000000003" customHeight="1">
      <c r="A74" s="21">
        <f t="shared" si="2"/>
        <v>65</v>
      </c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6"/>
      <c r="N74" s="16" t="str">
        <f t="shared" ref="N74:N105" si="5">IF(M74="","",IF(LEFT(J74,3)="III",M74+6/24,IF(LEFT(J74,2)="II",M74+5/24,IF(LEFT(J74,1)="I",M74+3/24,""))))</f>
        <v/>
      </c>
      <c r="O74" s="16"/>
      <c r="P74" s="17" t="str">
        <f t="shared" ref="P74:P105" ca="1" si="6">IF(A74="","",IF(N74="","НЕТ СРОКА",IF(O74&lt;&gt;"",IF(O74&lt;=N74,"ПОЛУЧЕН В СРОК","ПОЛУЧЕН С ПРОСРОЧКОЙ"),IF(NOW()&gt;N74,"ПРОСРОЧЕНО","ОЖИДАЕТСЯ"))))</f>
        <v>НЕТ СРОКА</v>
      </c>
      <c r="Q74" s="17"/>
      <c r="R74" s="17"/>
      <c r="S74" s="17"/>
      <c r="T74" s="19"/>
      <c r="U74" s="19"/>
      <c r="V74" s="20"/>
    </row>
    <row r="75" spans="1:22" ht="33.950000000000003" customHeight="1">
      <c r="A75" s="21">
        <f t="shared" si="2"/>
        <v>66</v>
      </c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6"/>
      <c r="N75" s="16" t="str">
        <f t="shared" si="5"/>
        <v/>
      </c>
      <c r="O75" s="16"/>
      <c r="P75" s="17" t="str">
        <f t="shared" ca="1" si="6"/>
        <v>НЕТ СРОКА</v>
      </c>
      <c r="Q75" s="17"/>
      <c r="R75" s="17"/>
      <c r="S75" s="17"/>
      <c r="T75" s="19"/>
      <c r="U75" s="19"/>
      <c r="V75" s="20"/>
    </row>
    <row r="76" spans="1:22" ht="33.950000000000003" customHeight="1">
      <c r="A76" s="21">
        <f t="shared" ref="A76:A139" si="7">A75+1</f>
        <v>67</v>
      </c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6"/>
      <c r="N76" s="16" t="str">
        <f t="shared" si="5"/>
        <v/>
      </c>
      <c r="O76" s="16"/>
      <c r="P76" s="17" t="str">
        <f t="shared" ca="1" si="6"/>
        <v>НЕТ СРОКА</v>
      </c>
      <c r="Q76" s="17"/>
      <c r="R76" s="17"/>
      <c r="S76" s="17"/>
      <c r="T76" s="19"/>
      <c r="U76" s="19"/>
      <c r="V76" s="20"/>
    </row>
    <row r="77" spans="1:22" ht="33.950000000000003" customHeight="1">
      <c r="A77" s="21">
        <f t="shared" si="7"/>
        <v>68</v>
      </c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6"/>
      <c r="N77" s="16" t="str">
        <f t="shared" si="5"/>
        <v/>
      </c>
      <c r="O77" s="16"/>
      <c r="P77" s="17" t="str">
        <f t="shared" ca="1" si="6"/>
        <v>НЕТ СРОКА</v>
      </c>
      <c r="Q77" s="17"/>
      <c r="R77" s="17"/>
      <c r="S77" s="17"/>
      <c r="T77" s="19"/>
      <c r="U77" s="19"/>
      <c r="V77" s="20"/>
    </row>
    <row r="78" spans="1:22" ht="33.950000000000003" customHeight="1">
      <c r="A78" s="21">
        <f t="shared" si="7"/>
        <v>69</v>
      </c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6"/>
      <c r="N78" s="16" t="str">
        <f t="shared" si="5"/>
        <v/>
      </c>
      <c r="O78" s="16"/>
      <c r="P78" s="17" t="str">
        <f t="shared" ca="1" si="6"/>
        <v>НЕТ СРОКА</v>
      </c>
      <c r="Q78" s="17"/>
      <c r="R78" s="17"/>
      <c r="S78" s="17"/>
      <c r="T78" s="19"/>
      <c r="U78" s="19"/>
      <c r="V78" s="20"/>
    </row>
    <row r="79" spans="1:22" ht="33.950000000000003" customHeight="1">
      <c r="A79" s="21">
        <f t="shared" si="7"/>
        <v>70</v>
      </c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6"/>
      <c r="N79" s="16" t="str">
        <f t="shared" si="5"/>
        <v/>
      </c>
      <c r="O79" s="16"/>
      <c r="P79" s="17" t="str">
        <f t="shared" ca="1" si="6"/>
        <v>НЕТ СРОКА</v>
      </c>
      <c r="Q79" s="17"/>
      <c r="R79" s="17"/>
      <c r="S79" s="17"/>
      <c r="T79" s="19"/>
      <c r="U79" s="19"/>
      <c r="V79" s="20"/>
    </row>
    <row r="80" spans="1:22" ht="33.950000000000003" customHeight="1">
      <c r="A80" s="21">
        <f t="shared" si="7"/>
        <v>71</v>
      </c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6"/>
      <c r="N80" s="16" t="str">
        <f t="shared" si="5"/>
        <v/>
      </c>
      <c r="O80" s="16"/>
      <c r="P80" s="17" t="str">
        <f t="shared" ca="1" si="6"/>
        <v>НЕТ СРОКА</v>
      </c>
      <c r="Q80" s="17"/>
      <c r="R80" s="17"/>
      <c r="S80" s="17"/>
      <c r="T80" s="19"/>
      <c r="U80" s="19"/>
      <c r="V80" s="20"/>
    </row>
    <row r="81" spans="1:22" ht="33.950000000000003" customHeight="1">
      <c r="A81" s="21">
        <f t="shared" si="7"/>
        <v>72</v>
      </c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6"/>
      <c r="N81" s="16" t="str">
        <f t="shared" si="5"/>
        <v/>
      </c>
      <c r="O81" s="16"/>
      <c r="P81" s="17" t="str">
        <f t="shared" ca="1" si="6"/>
        <v>НЕТ СРОКА</v>
      </c>
      <c r="Q81" s="17"/>
      <c r="R81" s="17"/>
      <c r="S81" s="17"/>
      <c r="T81" s="19"/>
      <c r="U81" s="19"/>
      <c r="V81" s="20"/>
    </row>
    <row r="82" spans="1:22" ht="33.950000000000003" customHeight="1">
      <c r="A82" s="21">
        <f t="shared" si="7"/>
        <v>73</v>
      </c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6"/>
      <c r="N82" s="16" t="str">
        <f t="shared" si="5"/>
        <v/>
      </c>
      <c r="O82" s="16"/>
      <c r="P82" s="17" t="str">
        <f t="shared" ca="1" si="6"/>
        <v>НЕТ СРОКА</v>
      </c>
      <c r="Q82" s="17"/>
      <c r="R82" s="17"/>
      <c r="S82" s="17"/>
      <c r="T82" s="19"/>
      <c r="U82" s="19"/>
      <c r="V82" s="20"/>
    </row>
    <row r="83" spans="1:22" ht="33.950000000000003" customHeight="1">
      <c r="A83" s="21">
        <f t="shared" si="7"/>
        <v>74</v>
      </c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6"/>
      <c r="N83" s="16" t="str">
        <f t="shared" si="5"/>
        <v/>
      </c>
      <c r="O83" s="16"/>
      <c r="P83" s="17" t="str">
        <f t="shared" ca="1" si="6"/>
        <v>НЕТ СРОКА</v>
      </c>
      <c r="Q83" s="17"/>
      <c r="R83" s="17"/>
      <c r="S83" s="17"/>
      <c r="T83" s="19"/>
      <c r="U83" s="19"/>
      <c r="V83" s="20"/>
    </row>
    <row r="84" spans="1:22" ht="33.950000000000003" customHeight="1">
      <c r="A84" s="21">
        <f t="shared" si="7"/>
        <v>75</v>
      </c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6"/>
      <c r="N84" s="16" t="str">
        <f t="shared" si="5"/>
        <v/>
      </c>
      <c r="O84" s="16"/>
      <c r="P84" s="17" t="str">
        <f t="shared" ca="1" si="6"/>
        <v>НЕТ СРОКА</v>
      </c>
      <c r="Q84" s="17"/>
      <c r="R84" s="17"/>
      <c r="S84" s="17"/>
      <c r="T84" s="19"/>
      <c r="U84" s="19"/>
      <c r="V84" s="20"/>
    </row>
    <row r="85" spans="1:22" ht="33.950000000000003" customHeight="1">
      <c r="A85" s="21">
        <f t="shared" si="7"/>
        <v>76</v>
      </c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6"/>
      <c r="N85" s="16" t="str">
        <f t="shared" si="5"/>
        <v/>
      </c>
      <c r="O85" s="16"/>
      <c r="P85" s="17" t="str">
        <f t="shared" ca="1" si="6"/>
        <v>НЕТ СРОКА</v>
      </c>
      <c r="Q85" s="17"/>
      <c r="R85" s="17"/>
      <c r="S85" s="17"/>
      <c r="T85" s="19"/>
      <c r="U85" s="19"/>
      <c r="V85" s="20"/>
    </row>
    <row r="86" spans="1:22" ht="33.950000000000003" customHeight="1">
      <c r="A86" s="21">
        <f t="shared" si="7"/>
        <v>77</v>
      </c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6"/>
      <c r="N86" s="16" t="str">
        <f t="shared" si="5"/>
        <v/>
      </c>
      <c r="O86" s="16"/>
      <c r="P86" s="17" t="str">
        <f t="shared" ca="1" si="6"/>
        <v>НЕТ СРОКА</v>
      </c>
      <c r="Q86" s="17"/>
      <c r="R86" s="17"/>
      <c r="S86" s="17"/>
      <c r="T86" s="19"/>
      <c r="U86" s="19"/>
      <c r="V86" s="20"/>
    </row>
    <row r="87" spans="1:22" ht="33.950000000000003" customHeight="1">
      <c r="A87" s="21">
        <f t="shared" si="7"/>
        <v>78</v>
      </c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6"/>
      <c r="N87" s="16" t="str">
        <f t="shared" si="5"/>
        <v/>
      </c>
      <c r="O87" s="16"/>
      <c r="P87" s="17" t="str">
        <f t="shared" ca="1" si="6"/>
        <v>НЕТ СРОКА</v>
      </c>
      <c r="Q87" s="17"/>
      <c r="R87" s="17"/>
      <c r="S87" s="17"/>
      <c r="T87" s="19"/>
      <c r="U87" s="19"/>
      <c r="V87" s="20"/>
    </row>
    <row r="88" spans="1:22" ht="33.950000000000003" customHeight="1">
      <c r="A88" s="21">
        <f t="shared" si="7"/>
        <v>79</v>
      </c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6"/>
      <c r="N88" s="16" t="str">
        <f t="shared" si="5"/>
        <v/>
      </c>
      <c r="O88" s="16"/>
      <c r="P88" s="17" t="str">
        <f t="shared" ca="1" si="6"/>
        <v>НЕТ СРОКА</v>
      </c>
      <c r="Q88" s="17"/>
      <c r="R88" s="17"/>
      <c r="S88" s="17"/>
      <c r="T88" s="19"/>
      <c r="U88" s="19"/>
      <c r="V88" s="20"/>
    </row>
    <row r="89" spans="1:22" ht="33.950000000000003" customHeight="1">
      <c r="A89" s="21">
        <f t="shared" si="7"/>
        <v>80</v>
      </c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6"/>
      <c r="N89" s="16" t="str">
        <f t="shared" si="5"/>
        <v/>
      </c>
      <c r="O89" s="16"/>
      <c r="P89" s="17" t="str">
        <f t="shared" ca="1" si="6"/>
        <v>НЕТ СРОКА</v>
      </c>
      <c r="Q89" s="17"/>
      <c r="R89" s="17"/>
      <c r="S89" s="17"/>
      <c r="T89" s="19"/>
      <c r="U89" s="19"/>
      <c r="V89" s="20"/>
    </row>
    <row r="90" spans="1:22" ht="33.950000000000003" customHeight="1">
      <c r="A90" s="21">
        <f t="shared" si="7"/>
        <v>81</v>
      </c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6"/>
      <c r="N90" s="16" t="str">
        <f t="shared" si="5"/>
        <v/>
      </c>
      <c r="O90" s="16"/>
      <c r="P90" s="17" t="str">
        <f t="shared" ca="1" si="6"/>
        <v>НЕТ СРОКА</v>
      </c>
      <c r="Q90" s="17"/>
      <c r="R90" s="17"/>
      <c r="S90" s="17"/>
      <c r="T90" s="19"/>
      <c r="U90" s="19"/>
      <c r="V90" s="20"/>
    </row>
    <row r="91" spans="1:22" ht="33.950000000000003" customHeight="1">
      <c r="A91" s="21">
        <f t="shared" si="7"/>
        <v>82</v>
      </c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6"/>
      <c r="N91" s="16" t="str">
        <f t="shared" si="5"/>
        <v/>
      </c>
      <c r="O91" s="16"/>
      <c r="P91" s="17" t="str">
        <f t="shared" ca="1" si="6"/>
        <v>НЕТ СРОКА</v>
      </c>
      <c r="Q91" s="17"/>
      <c r="R91" s="17"/>
      <c r="S91" s="17"/>
      <c r="T91" s="19"/>
      <c r="U91" s="19"/>
      <c r="V91" s="20"/>
    </row>
    <row r="92" spans="1:22" ht="33.950000000000003" customHeight="1">
      <c r="A92" s="21">
        <f t="shared" si="7"/>
        <v>83</v>
      </c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6"/>
      <c r="N92" s="16" t="str">
        <f t="shared" si="5"/>
        <v/>
      </c>
      <c r="O92" s="16"/>
      <c r="P92" s="17" t="str">
        <f t="shared" ca="1" si="6"/>
        <v>НЕТ СРОКА</v>
      </c>
      <c r="Q92" s="17"/>
      <c r="R92" s="17"/>
      <c r="S92" s="17"/>
      <c r="T92" s="19"/>
      <c r="U92" s="19"/>
      <c r="V92" s="20"/>
    </row>
    <row r="93" spans="1:22" ht="33.950000000000003" customHeight="1">
      <c r="A93" s="21">
        <f t="shared" si="7"/>
        <v>84</v>
      </c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6"/>
      <c r="N93" s="16" t="str">
        <f t="shared" si="5"/>
        <v/>
      </c>
      <c r="O93" s="16"/>
      <c r="P93" s="17" t="str">
        <f t="shared" ca="1" si="6"/>
        <v>НЕТ СРОКА</v>
      </c>
      <c r="Q93" s="17"/>
      <c r="R93" s="17"/>
      <c r="S93" s="17"/>
      <c r="T93" s="19"/>
      <c r="U93" s="19"/>
      <c r="V93" s="20"/>
    </row>
    <row r="94" spans="1:22" ht="33.950000000000003" customHeight="1">
      <c r="A94" s="21">
        <f t="shared" si="7"/>
        <v>85</v>
      </c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6"/>
      <c r="N94" s="16" t="str">
        <f t="shared" si="5"/>
        <v/>
      </c>
      <c r="O94" s="16"/>
      <c r="P94" s="17" t="str">
        <f t="shared" ca="1" si="6"/>
        <v>НЕТ СРОКА</v>
      </c>
      <c r="Q94" s="17"/>
      <c r="R94" s="17"/>
      <c r="S94" s="17"/>
      <c r="T94" s="19"/>
      <c r="U94" s="19"/>
      <c r="V94" s="20"/>
    </row>
    <row r="95" spans="1:22" ht="33.950000000000003" customHeight="1">
      <c r="A95" s="21">
        <f t="shared" si="7"/>
        <v>86</v>
      </c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6"/>
      <c r="N95" s="16" t="str">
        <f t="shared" si="5"/>
        <v/>
      </c>
      <c r="O95" s="16"/>
      <c r="P95" s="17" t="str">
        <f t="shared" ca="1" si="6"/>
        <v>НЕТ СРОКА</v>
      </c>
      <c r="Q95" s="17"/>
      <c r="R95" s="17"/>
      <c r="S95" s="17"/>
      <c r="T95" s="19"/>
      <c r="U95" s="19"/>
      <c r="V95" s="20"/>
    </row>
    <row r="96" spans="1:22" ht="33.950000000000003" customHeight="1">
      <c r="A96" s="21">
        <f t="shared" si="7"/>
        <v>87</v>
      </c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6"/>
      <c r="N96" s="16" t="str">
        <f t="shared" si="5"/>
        <v/>
      </c>
      <c r="O96" s="16"/>
      <c r="P96" s="17" t="str">
        <f t="shared" ca="1" si="6"/>
        <v>НЕТ СРОКА</v>
      </c>
      <c r="Q96" s="17"/>
      <c r="R96" s="17"/>
      <c r="S96" s="17"/>
      <c r="T96" s="19"/>
      <c r="U96" s="19"/>
      <c r="V96" s="20"/>
    </row>
    <row r="97" spans="1:22" ht="33.950000000000003" customHeight="1">
      <c r="A97" s="21">
        <f t="shared" si="7"/>
        <v>88</v>
      </c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6"/>
      <c r="N97" s="16" t="str">
        <f t="shared" si="5"/>
        <v/>
      </c>
      <c r="O97" s="16"/>
      <c r="P97" s="17" t="str">
        <f t="shared" ca="1" si="6"/>
        <v>НЕТ СРОКА</v>
      </c>
      <c r="Q97" s="17"/>
      <c r="R97" s="17"/>
      <c r="S97" s="17"/>
      <c r="T97" s="19"/>
      <c r="U97" s="19"/>
      <c r="V97" s="20"/>
    </row>
    <row r="98" spans="1:22" ht="33.950000000000003" customHeight="1">
      <c r="A98" s="21">
        <f t="shared" si="7"/>
        <v>89</v>
      </c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6"/>
      <c r="N98" s="16" t="str">
        <f t="shared" si="5"/>
        <v/>
      </c>
      <c r="O98" s="16"/>
      <c r="P98" s="17" t="str">
        <f t="shared" ca="1" si="6"/>
        <v>НЕТ СРОКА</v>
      </c>
      <c r="Q98" s="17"/>
      <c r="R98" s="17"/>
      <c r="S98" s="17"/>
      <c r="T98" s="19"/>
      <c r="U98" s="19"/>
      <c r="V98" s="20"/>
    </row>
    <row r="99" spans="1:22" ht="33.950000000000003" customHeight="1">
      <c r="A99" s="21">
        <f t="shared" si="7"/>
        <v>90</v>
      </c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6"/>
      <c r="N99" s="16" t="str">
        <f t="shared" si="5"/>
        <v/>
      </c>
      <c r="O99" s="16"/>
      <c r="P99" s="17" t="str">
        <f t="shared" ca="1" si="6"/>
        <v>НЕТ СРОКА</v>
      </c>
      <c r="Q99" s="17"/>
      <c r="R99" s="17"/>
      <c r="S99" s="17"/>
      <c r="T99" s="19"/>
      <c r="U99" s="19"/>
      <c r="V99" s="20"/>
    </row>
    <row r="100" spans="1:22" ht="33.950000000000003" customHeight="1">
      <c r="A100" s="21">
        <f t="shared" si="7"/>
        <v>91</v>
      </c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6"/>
      <c r="N100" s="16" t="str">
        <f t="shared" si="5"/>
        <v/>
      </c>
      <c r="O100" s="16"/>
      <c r="P100" s="17" t="str">
        <f t="shared" ca="1" si="6"/>
        <v>НЕТ СРОКА</v>
      </c>
      <c r="Q100" s="17"/>
      <c r="R100" s="17"/>
      <c r="S100" s="17"/>
      <c r="T100" s="19"/>
      <c r="U100" s="19"/>
      <c r="V100" s="20"/>
    </row>
    <row r="101" spans="1:22" ht="33.950000000000003" customHeight="1">
      <c r="A101" s="21">
        <f t="shared" si="7"/>
        <v>92</v>
      </c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6"/>
      <c r="N101" s="16" t="str">
        <f t="shared" si="5"/>
        <v/>
      </c>
      <c r="O101" s="16"/>
      <c r="P101" s="17" t="str">
        <f t="shared" ca="1" si="6"/>
        <v>НЕТ СРОКА</v>
      </c>
      <c r="Q101" s="17"/>
      <c r="R101" s="17"/>
      <c r="S101" s="17"/>
      <c r="T101" s="19"/>
      <c r="U101" s="19"/>
      <c r="V101" s="20"/>
    </row>
    <row r="102" spans="1:22" ht="33.950000000000003" customHeight="1">
      <c r="A102" s="21">
        <f t="shared" si="7"/>
        <v>93</v>
      </c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6"/>
      <c r="N102" s="16" t="str">
        <f t="shared" si="5"/>
        <v/>
      </c>
      <c r="O102" s="16"/>
      <c r="P102" s="17" t="str">
        <f t="shared" ca="1" si="6"/>
        <v>НЕТ СРОКА</v>
      </c>
      <c r="Q102" s="17"/>
      <c r="R102" s="17"/>
      <c r="S102" s="17"/>
      <c r="T102" s="19"/>
      <c r="U102" s="19"/>
      <c r="V102" s="20"/>
    </row>
    <row r="103" spans="1:22" ht="33.950000000000003" customHeight="1">
      <c r="A103" s="21">
        <f t="shared" si="7"/>
        <v>94</v>
      </c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6"/>
      <c r="N103" s="16" t="str">
        <f t="shared" si="5"/>
        <v/>
      </c>
      <c r="O103" s="16"/>
      <c r="P103" s="17" t="str">
        <f t="shared" ca="1" si="6"/>
        <v>НЕТ СРОКА</v>
      </c>
      <c r="Q103" s="17"/>
      <c r="R103" s="17"/>
      <c r="S103" s="17"/>
      <c r="T103" s="19"/>
      <c r="U103" s="19"/>
      <c r="V103" s="20"/>
    </row>
    <row r="104" spans="1:22" ht="33.950000000000003" customHeight="1">
      <c r="A104" s="21">
        <f t="shared" si="7"/>
        <v>95</v>
      </c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6"/>
      <c r="N104" s="16" t="str">
        <f t="shared" si="5"/>
        <v/>
      </c>
      <c r="O104" s="16"/>
      <c r="P104" s="17" t="str">
        <f t="shared" ca="1" si="6"/>
        <v>НЕТ СРОКА</v>
      </c>
      <c r="Q104" s="17"/>
      <c r="R104" s="17"/>
      <c r="S104" s="17"/>
      <c r="T104" s="19"/>
      <c r="U104" s="19"/>
      <c r="V104" s="20"/>
    </row>
    <row r="105" spans="1:22" ht="33.950000000000003" customHeight="1">
      <c r="A105" s="21">
        <f t="shared" si="7"/>
        <v>96</v>
      </c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6"/>
      <c r="N105" s="16" t="str">
        <f t="shared" si="5"/>
        <v/>
      </c>
      <c r="O105" s="16"/>
      <c r="P105" s="17" t="str">
        <f t="shared" ca="1" si="6"/>
        <v>НЕТ СРОКА</v>
      </c>
      <c r="Q105" s="17"/>
      <c r="R105" s="17"/>
      <c r="S105" s="17"/>
      <c r="T105" s="19"/>
      <c r="U105" s="19"/>
      <c r="V105" s="20"/>
    </row>
    <row r="106" spans="1:22" ht="33.950000000000003" customHeight="1">
      <c r="A106" s="21">
        <f t="shared" si="7"/>
        <v>97</v>
      </c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6"/>
      <c r="N106" s="16" t="str">
        <f t="shared" ref="N106:N137" si="8">IF(M106="","",IF(LEFT(J106,3)="III",M106+6/24,IF(LEFT(J106,2)="II",M106+5/24,IF(LEFT(J106,1)="I",M106+3/24,""))))</f>
        <v/>
      </c>
      <c r="O106" s="16"/>
      <c r="P106" s="17" t="str">
        <f t="shared" ref="P106:P137" ca="1" si="9">IF(A106="","",IF(N106="","НЕТ СРОКА",IF(O106&lt;&gt;"",IF(O106&lt;=N106,"ПОЛУЧЕН В СРОК","ПОЛУЧЕН С ПРОСРОЧКОЙ"),IF(NOW()&gt;N106,"ПРОСРОЧЕНО","ОЖИДАЕТСЯ"))))</f>
        <v>НЕТ СРОКА</v>
      </c>
      <c r="Q106" s="17"/>
      <c r="R106" s="17"/>
      <c r="S106" s="17"/>
      <c r="T106" s="19"/>
      <c r="U106" s="19"/>
      <c r="V106" s="20"/>
    </row>
    <row r="107" spans="1:22" ht="33.950000000000003" customHeight="1">
      <c r="A107" s="21">
        <f t="shared" si="7"/>
        <v>98</v>
      </c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6"/>
      <c r="N107" s="16" t="str">
        <f t="shared" si="8"/>
        <v/>
      </c>
      <c r="O107" s="16"/>
      <c r="P107" s="17" t="str">
        <f t="shared" ca="1" si="9"/>
        <v>НЕТ СРОКА</v>
      </c>
      <c r="Q107" s="17"/>
      <c r="R107" s="17"/>
      <c r="S107" s="17"/>
      <c r="T107" s="19"/>
      <c r="U107" s="19"/>
      <c r="V107" s="20"/>
    </row>
    <row r="108" spans="1:22" ht="33.950000000000003" customHeight="1">
      <c r="A108" s="21">
        <f t="shared" si="7"/>
        <v>99</v>
      </c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6"/>
      <c r="N108" s="16" t="str">
        <f t="shared" si="8"/>
        <v/>
      </c>
      <c r="O108" s="16"/>
      <c r="P108" s="17" t="str">
        <f t="shared" ca="1" si="9"/>
        <v>НЕТ СРОКА</v>
      </c>
      <c r="Q108" s="17"/>
      <c r="R108" s="17"/>
      <c r="S108" s="17"/>
      <c r="T108" s="19"/>
      <c r="U108" s="19"/>
      <c r="V108" s="20"/>
    </row>
    <row r="109" spans="1:22" ht="33.950000000000003" customHeight="1">
      <c r="A109" s="21">
        <f t="shared" si="7"/>
        <v>100</v>
      </c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6"/>
      <c r="N109" s="16" t="str">
        <f t="shared" si="8"/>
        <v/>
      </c>
      <c r="O109" s="16"/>
      <c r="P109" s="17" t="str">
        <f t="shared" ca="1" si="9"/>
        <v>НЕТ СРОКА</v>
      </c>
      <c r="Q109" s="17"/>
      <c r="R109" s="17"/>
      <c r="S109" s="17"/>
      <c r="T109" s="19"/>
      <c r="U109" s="19"/>
      <c r="V109" s="20"/>
    </row>
    <row r="110" spans="1:22" ht="33.950000000000003" customHeight="1">
      <c r="A110" s="21">
        <f t="shared" si="7"/>
        <v>101</v>
      </c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6"/>
      <c r="N110" s="16" t="str">
        <f t="shared" si="8"/>
        <v/>
      </c>
      <c r="O110" s="16"/>
      <c r="P110" s="17" t="str">
        <f t="shared" ca="1" si="9"/>
        <v>НЕТ СРОКА</v>
      </c>
      <c r="Q110" s="17"/>
      <c r="R110" s="17"/>
      <c r="S110" s="17"/>
      <c r="T110" s="19"/>
      <c r="U110" s="19"/>
      <c r="V110" s="20"/>
    </row>
    <row r="111" spans="1:22" ht="33.950000000000003" customHeight="1">
      <c r="A111" s="21">
        <f t="shared" si="7"/>
        <v>102</v>
      </c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6"/>
      <c r="N111" s="16" t="str">
        <f t="shared" si="8"/>
        <v/>
      </c>
      <c r="O111" s="16"/>
      <c r="P111" s="17" t="str">
        <f t="shared" ca="1" si="9"/>
        <v>НЕТ СРОКА</v>
      </c>
      <c r="Q111" s="17"/>
      <c r="R111" s="17"/>
      <c r="S111" s="17"/>
      <c r="T111" s="19"/>
      <c r="U111" s="19"/>
      <c r="V111" s="20"/>
    </row>
    <row r="112" spans="1:22" ht="33.950000000000003" customHeight="1">
      <c r="A112" s="21">
        <f t="shared" si="7"/>
        <v>103</v>
      </c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6"/>
      <c r="N112" s="16" t="str">
        <f t="shared" si="8"/>
        <v/>
      </c>
      <c r="O112" s="16"/>
      <c r="P112" s="17" t="str">
        <f t="shared" ca="1" si="9"/>
        <v>НЕТ СРОКА</v>
      </c>
      <c r="Q112" s="17"/>
      <c r="R112" s="17"/>
      <c r="S112" s="17"/>
      <c r="T112" s="19"/>
      <c r="U112" s="19"/>
      <c r="V112" s="20"/>
    </row>
    <row r="113" spans="1:22" ht="33.950000000000003" customHeight="1">
      <c r="A113" s="21">
        <f t="shared" si="7"/>
        <v>104</v>
      </c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6"/>
      <c r="N113" s="16" t="str">
        <f t="shared" si="8"/>
        <v/>
      </c>
      <c r="O113" s="16"/>
      <c r="P113" s="17" t="str">
        <f t="shared" ca="1" si="9"/>
        <v>НЕТ СРОКА</v>
      </c>
      <c r="Q113" s="17"/>
      <c r="R113" s="17"/>
      <c r="S113" s="17"/>
      <c r="T113" s="19"/>
      <c r="U113" s="19"/>
      <c r="V113" s="20"/>
    </row>
    <row r="114" spans="1:22" ht="33.950000000000003" customHeight="1">
      <c r="A114" s="21">
        <f t="shared" si="7"/>
        <v>105</v>
      </c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6"/>
      <c r="N114" s="16" t="str">
        <f t="shared" si="8"/>
        <v/>
      </c>
      <c r="O114" s="16"/>
      <c r="P114" s="17" t="str">
        <f t="shared" ca="1" si="9"/>
        <v>НЕТ СРОКА</v>
      </c>
      <c r="Q114" s="17"/>
      <c r="R114" s="17"/>
      <c r="S114" s="17"/>
      <c r="T114" s="19"/>
      <c r="U114" s="19"/>
      <c r="V114" s="20"/>
    </row>
    <row r="115" spans="1:22" ht="33.950000000000003" customHeight="1">
      <c r="A115" s="21">
        <f t="shared" si="7"/>
        <v>106</v>
      </c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6"/>
      <c r="N115" s="16" t="str">
        <f t="shared" si="8"/>
        <v/>
      </c>
      <c r="O115" s="16"/>
      <c r="P115" s="17" t="str">
        <f t="shared" ca="1" si="9"/>
        <v>НЕТ СРОКА</v>
      </c>
      <c r="Q115" s="17"/>
      <c r="R115" s="17"/>
      <c r="S115" s="17"/>
      <c r="T115" s="19"/>
      <c r="U115" s="19"/>
      <c r="V115" s="20"/>
    </row>
    <row r="116" spans="1:22" ht="33.950000000000003" customHeight="1">
      <c r="A116" s="21">
        <f t="shared" si="7"/>
        <v>107</v>
      </c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6"/>
      <c r="N116" s="16" t="str">
        <f t="shared" si="8"/>
        <v/>
      </c>
      <c r="O116" s="16"/>
      <c r="P116" s="17" t="str">
        <f t="shared" ca="1" si="9"/>
        <v>НЕТ СРОКА</v>
      </c>
      <c r="Q116" s="17"/>
      <c r="R116" s="17"/>
      <c r="S116" s="17"/>
      <c r="T116" s="19"/>
      <c r="U116" s="19"/>
      <c r="V116" s="20"/>
    </row>
    <row r="117" spans="1:22" ht="33.950000000000003" customHeight="1">
      <c r="A117" s="21">
        <f t="shared" si="7"/>
        <v>108</v>
      </c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6"/>
      <c r="N117" s="16" t="str">
        <f t="shared" si="8"/>
        <v/>
      </c>
      <c r="O117" s="16"/>
      <c r="P117" s="17" t="str">
        <f t="shared" ca="1" si="9"/>
        <v>НЕТ СРОКА</v>
      </c>
      <c r="Q117" s="17"/>
      <c r="R117" s="17"/>
      <c r="S117" s="17"/>
      <c r="T117" s="19"/>
      <c r="U117" s="19"/>
      <c r="V117" s="20"/>
    </row>
    <row r="118" spans="1:22" ht="33.950000000000003" customHeight="1">
      <c r="A118" s="21">
        <f t="shared" si="7"/>
        <v>109</v>
      </c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6"/>
      <c r="N118" s="16" t="str">
        <f t="shared" si="8"/>
        <v/>
      </c>
      <c r="O118" s="16"/>
      <c r="P118" s="17" t="str">
        <f t="shared" ca="1" si="9"/>
        <v>НЕТ СРОКА</v>
      </c>
      <c r="Q118" s="17"/>
      <c r="R118" s="17"/>
      <c r="S118" s="17"/>
      <c r="T118" s="19"/>
      <c r="U118" s="19"/>
      <c r="V118" s="20"/>
    </row>
    <row r="119" spans="1:22" ht="33.950000000000003" customHeight="1">
      <c r="A119" s="21">
        <f t="shared" si="7"/>
        <v>110</v>
      </c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6"/>
      <c r="N119" s="16" t="str">
        <f t="shared" si="8"/>
        <v/>
      </c>
      <c r="O119" s="16"/>
      <c r="P119" s="17" t="str">
        <f t="shared" ca="1" si="9"/>
        <v>НЕТ СРОКА</v>
      </c>
      <c r="Q119" s="17"/>
      <c r="R119" s="17"/>
      <c r="S119" s="17"/>
      <c r="T119" s="19"/>
      <c r="U119" s="19"/>
      <c r="V119" s="20"/>
    </row>
    <row r="120" spans="1:22" ht="33.950000000000003" customHeight="1">
      <c r="A120" s="21">
        <f t="shared" si="7"/>
        <v>111</v>
      </c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6"/>
      <c r="N120" s="16" t="str">
        <f t="shared" si="8"/>
        <v/>
      </c>
      <c r="O120" s="16"/>
      <c r="P120" s="17" t="str">
        <f t="shared" ca="1" si="9"/>
        <v>НЕТ СРОКА</v>
      </c>
      <c r="Q120" s="17"/>
      <c r="R120" s="17"/>
      <c r="S120" s="17"/>
      <c r="T120" s="19"/>
      <c r="U120" s="19"/>
      <c r="V120" s="20"/>
    </row>
    <row r="121" spans="1:22" ht="33.950000000000003" customHeight="1">
      <c r="A121" s="21">
        <f t="shared" si="7"/>
        <v>112</v>
      </c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6"/>
      <c r="N121" s="16" t="str">
        <f t="shared" si="8"/>
        <v/>
      </c>
      <c r="O121" s="16"/>
      <c r="P121" s="17" t="str">
        <f t="shared" ca="1" si="9"/>
        <v>НЕТ СРОКА</v>
      </c>
      <c r="Q121" s="17"/>
      <c r="R121" s="17"/>
      <c r="S121" s="17"/>
      <c r="T121" s="19"/>
      <c r="U121" s="19"/>
      <c r="V121" s="20"/>
    </row>
    <row r="122" spans="1:22" ht="33.950000000000003" customHeight="1">
      <c r="A122" s="21">
        <f t="shared" si="7"/>
        <v>113</v>
      </c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6"/>
      <c r="N122" s="16" t="str">
        <f t="shared" si="8"/>
        <v/>
      </c>
      <c r="O122" s="16"/>
      <c r="P122" s="17" t="str">
        <f t="shared" ca="1" si="9"/>
        <v>НЕТ СРОКА</v>
      </c>
      <c r="Q122" s="17"/>
      <c r="R122" s="17"/>
      <c r="S122" s="17"/>
      <c r="T122" s="19"/>
      <c r="U122" s="19"/>
      <c r="V122" s="20"/>
    </row>
    <row r="123" spans="1:22" ht="33.950000000000003" customHeight="1">
      <c r="A123" s="21">
        <f t="shared" si="7"/>
        <v>114</v>
      </c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6"/>
      <c r="N123" s="16" t="str">
        <f t="shared" si="8"/>
        <v/>
      </c>
      <c r="O123" s="16"/>
      <c r="P123" s="17" t="str">
        <f t="shared" ca="1" si="9"/>
        <v>НЕТ СРОКА</v>
      </c>
      <c r="Q123" s="17"/>
      <c r="R123" s="17"/>
      <c r="S123" s="17"/>
      <c r="T123" s="19"/>
      <c r="U123" s="19"/>
      <c r="V123" s="20"/>
    </row>
    <row r="124" spans="1:22" ht="33.950000000000003" customHeight="1">
      <c r="A124" s="21">
        <f t="shared" si="7"/>
        <v>115</v>
      </c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6"/>
      <c r="N124" s="16" t="str">
        <f t="shared" si="8"/>
        <v/>
      </c>
      <c r="O124" s="16"/>
      <c r="P124" s="17" t="str">
        <f t="shared" ca="1" si="9"/>
        <v>НЕТ СРОКА</v>
      </c>
      <c r="Q124" s="17"/>
      <c r="R124" s="17"/>
      <c r="S124" s="17"/>
      <c r="T124" s="19"/>
      <c r="U124" s="19"/>
      <c r="V124" s="20"/>
    </row>
    <row r="125" spans="1:22" ht="33.950000000000003" customHeight="1">
      <c r="A125" s="21">
        <f t="shared" si="7"/>
        <v>116</v>
      </c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6"/>
      <c r="N125" s="16" t="str">
        <f t="shared" si="8"/>
        <v/>
      </c>
      <c r="O125" s="16"/>
      <c r="P125" s="17" t="str">
        <f t="shared" ca="1" si="9"/>
        <v>НЕТ СРОКА</v>
      </c>
      <c r="Q125" s="17"/>
      <c r="R125" s="17"/>
      <c r="S125" s="17"/>
      <c r="T125" s="19"/>
      <c r="U125" s="19"/>
      <c r="V125" s="20"/>
    </row>
    <row r="126" spans="1:22" ht="33.950000000000003" customHeight="1">
      <c r="A126" s="21">
        <f t="shared" si="7"/>
        <v>117</v>
      </c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6"/>
      <c r="N126" s="16" t="str">
        <f t="shared" si="8"/>
        <v/>
      </c>
      <c r="O126" s="16"/>
      <c r="P126" s="17" t="str">
        <f t="shared" ca="1" si="9"/>
        <v>НЕТ СРОКА</v>
      </c>
      <c r="Q126" s="17"/>
      <c r="R126" s="17"/>
      <c r="S126" s="17"/>
      <c r="T126" s="19"/>
      <c r="U126" s="19"/>
      <c r="V126" s="20"/>
    </row>
    <row r="127" spans="1:22" ht="33.950000000000003" customHeight="1">
      <c r="A127" s="21">
        <f t="shared" si="7"/>
        <v>118</v>
      </c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6"/>
      <c r="N127" s="16" t="str">
        <f t="shared" si="8"/>
        <v/>
      </c>
      <c r="O127" s="16"/>
      <c r="P127" s="17" t="str">
        <f t="shared" ca="1" si="9"/>
        <v>НЕТ СРОКА</v>
      </c>
      <c r="Q127" s="17"/>
      <c r="R127" s="17"/>
      <c r="S127" s="17"/>
      <c r="T127" s="19"/>
      <c r="U127" s="19"/>
      <c r="V127" s="20"/>
    </row>
    <row r="128" spans="1:22" ht="33.950000000000003" customHeight="1">
      <c r="A128" s="21">
        <f t="shared" si="7"/>
        <v>119</v>
      </c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6"/>
      <c r="N128" s="16" t="str">
        <f t="shared" si="8"/>
        <v/>
      </c>
      <c r="O128" s="16"/>
      <c r="P128" s="17" t="str">
        <f t="shared" ca="1" si="9"/>
        <v>НЕТ СРОКА</v>
      </c>
      <c r="Q128" s="17"/>
      <c r="R128" s="17"/>
      <c r="S128" s="17"/>
      <c r="T128" s="19"/>
      <c r="U128" s="19"/>
      <c r="V128" s="20"/>
    </row>
    <row r="129" spans="1:22" ht="33.950000000000003" customHeight="1">
      <c r="A129" s="21">
        <f t="shared" si="7"/>
        <v>120</v>
      </c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6"/>
      <c r="N129" s="16" t="str">
        <f t="shared" si="8"/>
        <v/>
      </c>
      <c r="O129" s="16"/>
      <c r="P129" s="17" t="str">
        <f t="shared" ca="1" si="9"/>
        <v>НЕТ СРОКА</v>
      </c>
      <c r="Q129" s="17"/>
      <c r="R129" s="17"/>
      <c r="S129" s="17"/>
      <c r="T129" s="19"/>
      <c r="U129" s="19"/>
      <c r="V129" s="20"/>
    </row>
    <row r="130" spans="1:22" ht="33.950000000000003" customHeight="1">
      <c r="A130" s="21">
        <f t="shared" si="7"/>
        <v>121</v>
      </c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6"/>
      <c r="N130" s="16" t="str">
        <f t="shared" si="8"/>
        <v/>
      </c>
      <c r="O130" s="16"/>
      <c r="P130" s="17" t="str">
        <f t="shared" ca="1" si="9"/>
        <v>НЕТ СРОКА</v>
      </c>
      <c r="Q130" s="17"/>
      <c r="R130" s="17"/>
      <c r="S130" s="17"/>
      <c r="T130" s="19"/>
      <c r="U130" s="19"/>
      <c r="V130" s="20"/>
    </row>
    <row r="131" spans="1:22" ht="33.950000000000003" customHeight="1">
      <c r="A131" s="21">
        <f t="shared" si="7"/>
        <v>122</v>
      </c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6"/>
      <c r="N131" s="16" t="str">
        <f t="shared" si="8"/>
        <v/>
      </c>
      <c r="O131" s="16"/>
      <c r="P131" s="17" t="str">
        <f t="shared" ca="1" si="9"/>
        <v>НЕТ СРОКА</v>
      </c>
      <c r="Q131" s="17"/>
      <c r="R131" s="17"/>
      <c r="S131" s="17"/>
      <c r="T131" s="19"/>
      <c r="U131" s="19"/>
      <c r="V131" s="20"/>
    </row>
    <row r="132" spans="1:22" ht="33.950000000000003" customHeight="1">
      <c r="A132" s="21">
        <f t="shared" si="7"/>
        <v>123</v>
      </c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6"/>
      <c r="N132" s="16" t="str">
        <f t="shared" si="8"/>
        <v/>
      </c>
      <c r="O132" s="16"/>
      <c r="P132" s="17" t="str">
        <f t="shared" ca="1" si="9"/>
        <v>НЕТ СРОКА</v>
      </c>
      <c r="Q132" s="17"/>
      <c r="R132" s="17"/>
      <c r="S132" s="17"/>
      <c r="T132" s="19"/>
      <c r="U132" s="19"/>
      <c r="V132" s="20"/>
    </row>
    <row r="133" spans="1:22" ht="33.950000000000003" customHeight="1">
      <c r="A133" s="21">
        <f t="shared" si="7"/>
        <v>124</v>
      </c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6"/>
      <c r="N133" s="16" t="str">
        <f t="shared" si="8"/>
        <v/>
      </c>
      <c r="O133" s="16"/>
      <c r="P133" s="17" t="str">
        <f t="shared" ca="1" si="9"/>
        <v>НЕТ СРОКА</v>
      </c>
      <c r="Q133" s="17"/>
      <c r="R133" s="17"/>
      <c r="S133" s="17"/>
      <c r="T133" s="19"/>
      <c r="U133" s="19"/>
      <c r="V133" s="20"/>
    </row>
    <row r="134" spans="1:22" ht="33.950000000000003" customHeight="1">
      <c r="A134" s="21">
        <f t="shared" si="7"/>
        <v>125</v>
      </c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6"/>
      <c r="N134" s="16" t="str">
        <f t="shared" si="8"/>
        <v/>
      </c>
      <c r="O134" s="16"/>
      <c r="P134" s="17" t="str">
        <f t="shared" ca="1" si="9"/>
        <v>НЕТ СРОКА</v>
      </c>
      <c r="Q134" s="17"/>
      <c r="R134" s="17"/>
      <c r="S134" s="17"/>
      <c r="T134" s="19"/>
      <c r="U134" s="19"/>
      <c r="V134" s="20"/>
    </row>
    <row r="135" spans="1:22" ht="33.950000000000003" customHeight="1">
      <c r="A135" s="21">
        <f t="shared" si="7"/>
        <v>126</v>
      </c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6"/>
      <c r="N135" s="16" t="str">
        <f t="shared" si="8"/>
        <v/>
      </c>
      <c r="O135" s="16"/>
      <c r="P135" s="17" t="str">
        <f t="shared" ca="1" si="9"/>
        <v>НЕТ СРОКА</v>
      </c>
      <c r="Q135" s="17"/>
      <c r="R135" s="17"/>
      <c r="S135" s="17"/>
      <c r="T135" s="19"/>
      <c r="U135" s="19"/>
      <c r="V135" s="20"/>
    </row>
    <row r="136" spans="1:22" ht="33.950000000000003" customHeight="1">
      <c r="A136" s="21">
        <f t="shared" si="7"/>
        <v>127</v>
      </c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6"/>
      <c r="N136" s="16" t="str">
        <f t="shared" si="8"/>
        <v/>
      </c>
      <c r="O136" s="16"/>
      <c r="P136" s="17" t="str">
        <f t="shared" ca="1" si="9"/>
        <v>НЕТ СРОКА</v>
      </c>
      <c r="Q136" s="17"/>
      <c r="R136" s="17"/>
      <c r="S136" s="17"/>
      <c r="T136" s="19"/>
      <c r="U136" s="19"/>
      <c r="V136" s="20"/>
    </row>
    <row r="137" spans="1:22" ht="33.950000000000003" customHeight="1">
      <c r="A137" s="21">
        <f t="shared" si="7"/>
        <v>128</v>
      </c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6"/>
      <c r="N137" s="16" t="str">
        <f t="shared" si="8"/>
        <v/>
      </c>
      <c r="O137" s="16"/>
      <c r="P137" s="17" t="str">
        <f t="shared" ca="1" si="9"/>
        <v>НЕТ СРОКА</v>
      </c>
      <c r="Q137" s="17"/>
      <c r="R137" s="17"/>
      <c r="S137" s="17"/>
      <c r="T137" s="19"/>
      <c r="U137" s="19"/>
      <c r="V137" s="20"/>
    </row>
    <row r="138" spans="1:22" ht="33.950000000000003" customHeight="1">
      <c r="A138" s="21">
        <f t="shared" si="7"/>
        <v>129</v>
      </c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6"/>
      <c r="N138" s="16" t="str">
        <f t="shared" ref="N138:N169" si="10">IF(M138="","",IF(LEFT(J138,3)="III",M138+6/24,IF(LEFT(J138,2)="II",M138+5/24,IF(LEFT(J138,1)="I",M138+3/24,""))))</f>
        <v/>
      </c>
      <c r="O138" s="16"/>
      <c r="P138" s="17" t="str">
        <f t="shared" ref="P138:P169" ca="1" si="11">IF(A138="","",IF(N138="","НЕТ СРОКА",IF(O138&lt;&gt;"",IF(O138&lt;=N138,"ПОЛУЧЕН В СРОК","ПОЛУЧЕН С ПРОСРОЧКОЙ"),IF(NOW()&gt;N138,"ПРОСРОЧЕНО","ОЖИДАЕТСЯ"))))</f>
        <v>НЕТ СРОКА</v>
      </c>
      <c r="Q138" s="17"/>
      <c r="R138" s="17"/>
      <c r="S138" s="17"/>
      <c r="T138" s="19"/>
      <c r="U138" s="19"/>
      <c r="V138" s="20"/>
    </row>
    <row r="139" spans="1:22" ht="33.950000000000003" customHeight="1">
      <c r="A139" s="21">
        <f t="shared" si="7"/>
        <v>130</v>
      </c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6"/>
      <c r="N139" s="16" t="str">
        <f t="shared" si="10"/>
        <v/>
      </c>
      <c r="O139" s="16"/>
      <c r="P139" s="17" t="str">
        <f t="shared" ca="1" si="11"/>
        <v>НЕТ СРОКА</v>
      </c>
      <c r="Q139" s="17"/>
      <c r="R139" s="17"/>
      <c r="S139" s="17"/>
      <c r="T139" s="19"/>
      <c r="U139" s="19"/>
      <c r="V139" s="20"/>
    </row>
    <row r="140" spans="1:22" ht="33.950000000000003" customHeight="1">
      <c r="A140" s="21">
        <f t="shared" ref="A140:A203" si="12">A139+1</f>
        <v>131</v>
      </c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6"/>
      <c r="N140" s="16" t="str">
        <f t="shared" si="10"/>
        <v/>
      </c>
      <c r="O140" s="16"/>
      <c r="P140" s="17" t="str">
        <f t="shared" ca="1" si="11"/>
        <v>НЕТ СРОКА</v>
      </c>
      <c r="Q140" s="17"/>
      <c r="R140" s="17"/>
      <c r="S140" s="17"/>
      <c r="T140" s="19"/>
      <c r="U140" s="19"/>
      <c r="V140" s="20"/>
    </row>
    <row r="141" spans="1:22" ht="33.950000000000003" customHeight="1">
      <c r="A141" s="21">
        <f t="shared" si="12"/>
        <v>132</v>
      </c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6"/>
      <c r="N141" s="16" t="str">
        <f t="shared" si="10"/>
        <v/>
      </c>
      <c r="O141" s="16"/>
      <c r="P141" s="17" t="str">
        <f t="shared" ca="1" si="11"/>
        <v>НЕТ СРОКА</v>
      </c>
      <c r="Q141" s="17"/>
      <c r="R141" s="17"/>
      <c r="S141" s="17"/>
      <c r="T141" s="19"/>
      <c r="U141" s="19"/>
      <c r="V141" s="20"/>
    </row>
    <row r="142" spans="1:22" ht="33.950000000000003" customHeight="1">
      <c r="A142" s="21">
        <f t="shared" si="12"/>
        <v>133</v>
      </c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6"/>
      <c r="N142" s="16" t="str">
        <f t="shared" si="10"/>
        <v/>
      </c>
      <c r="O142" s="16"/>
      <c r="P142" s="17" t="str">
        <f t="shared" ca="1" si="11"/>
        <v>НЕТ СРОКА</v>
      </c>
      <c r="Q142" s="17"/>
      <c r="R142" s="17"/>
      <c r="S142" s="17"/>
      <c r="T142" s="19"/>
      <c r="U142" s="19"/>
      <c r="V142" s="20"/>
    </row>
    <row r="143" spans="1:22" ht="33.950000000000003" customHeight="1">
      <c r="A143" s="21">
        <f t="shared" si="12"/>
        <v>134</v>
      </c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6"/>
      <c r="N143" s="16" t="str">
        <f t="shared" si="10"/>
        <v/>
      </c>
      <c r="O143" s="16"/>
      <c r="P143" s="17" t="str">
        <f t="shared" ca="1" si="11"/>
        <v>НЕТ СРОКА</v>
      </c>
      <c r="Q143" s="17"/>
      <c r="R143" s="17"/>
      <c r="S143" s="17"/>
      <c r="T143" s="19"/>
      <c r="U143" s="19"/>
      <c r="V143" s="20"/>
    </row>
    <row r="144" spans="1:22" ht="33.950000000000003" customHeight="1">
      <c r="A144" s="21">
        <f t="shared" si="12"/>
        <v>135</v>
      </c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6"/>
      <c r="N144" s="16" t="str">
        <f t="shared" si="10"/>
        <v/>
      </c>
      <c r="O144" s="16"/>
      <c r="P144" s="17" t="str">
        <f t="shared" ca="1" si="11"/>
        <v>НЕТ СРОКА</v>
      </c>
      <c r="Q144" s="17"/>
      <c r="R144" s="17"/>
      <c r="S144" s="17"/>
      <c r="T144" s="19"/>
      <c r="U144" s="19"/>
      <c r="V144" s="20"/>
    </row>
    <row r="145" spans="1:22" ht="33.950000000000003" customHeight="1">
      <c r="A145" s="21">
        <f t="shared" si="12"/>
        <v>136</v>
      </c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6"/>
      <c r="N145" s="16" t="str">
        <f t="shared" si="10"/>
        <v/>
      </c>
      <c r="O145" s="16"/>
      <c r="P145" s="17" t="str">
        <f t="shared" ca="1" si="11"/>
        <v>НЕТ СРОКА</v>
      </c>
      <c r="Q145" s="17"/>
      <c r="R145" s="17"/>
      <c r="S145" s="17"/>
      <c r="T145" s="19"/>
      <c r="U145" s="19"/>
      <c r="V145" s="20"/>
    </row>
    <row r="146" spans="1:22" ht="33.950000000000003" customHeight="1">
      <c r="A146" s="21">
        <f t="shared" si="12"/>
        <v>137</v>
      </c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6"/>
      <c r="N146" s="16" t="str">
        <f t="shared" si="10"/>
        <v/>
      </c>
      <c r="O146" s="16"/>
      <c r="P146" s="17" t="str">
        <f t="shared" ca="1" si="11"/>
        <v>НЕТ СРОКА</v>
      </c>
      <c r="Q146" s="17"/>
      <c r="R146" s="17"/>
      <c r="S146" s="17"/>
      <c r="T146" s="19"/>
      <c r="U146" s="19"/>
      <c r="V146" s="20"/>
    </row>
    <row r="147" spans="1:22" ht="33.950000000000003" customHeight="1">
      <c r="A147" s="21">
        <f t="shared" si="12"/>
        <v>138</v>
      </c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6"/>
      <c r="N147" s="16" t="str">
        <f t="shared" si="10"/>
        <v/>
      </c>
      <c r="O147" s="16"/>
      <c r="P147" s="17" t="str">
        <f t="shared" ca="1" si="11"/>
        <v>НЕТ СРОКА</v>
      </c>
      <c r="Q147" s="17"/>
      <c r="R147" s="17"/>
      <c r="S147" s="17"/>
      <c r="T147" s="19"/>
      <c r="U147" s="19"/>
      <c r="V147" s="20"/>
    </row>
    <row r="148" spans="1:22" ht="33.950000000000003" customHeight="1">
      <c r="A148" s="21">
        <f t="shared" si="12"/>
        <v>139</v>
      </c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6"/>
      <c r="N148" s="16" t="str">
        <f t="shared" si="10"/>
        <v/>
      </c>
      <c r="O148" s="16"/>
      <c r="P148" s="17" t="str">
        <f t="shared" ca="1" si="11"/>
        <v>НЕТ СРОКА</v>
      </c>
      <c r="Q148" s="17"/>
      <c r="R148" s="17"/>
      <c r="S148" s="17"/>
      <c r="T148" s="19"/>
      <c r="U148" s="19"/>
      <c r="V148" s="20"/>
    </row>
    <row r="149" spans="1:22" ht="33.950000000000003" customHeight="1">
      <c r="A149" s="21">
        <f t="shared" si="12"/>
        <v>140</v>
      </c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6"/>
      <c r="N149" s="16" t="str">
        <f t="shared" si="10"/>
        <v/>
      </c>
      <c r="O149" s="16"/>
      <c r="P149" s="17" t="str">
        <f t="shared" ca="1" si="11"/>
        <v>НЕТ СРОКА</v>
      </c>
      <c r="Q149" s="17"/>
      <c r="R149" s="17"/>
      <c r="S149" s="17"/>
      <c r="T149" s="19"/>
      <c r="U149" s="19"/>
      <c r="V149" s="20"/>
    </row>
    <row r="150" spans="1:22" ht="33.950000000000003" customHeight="1">
      <c r="A150" s="21">
        <f t="shared" si="12"/>
        <v>141</v>
      </c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6"/>
      <c r="N150" s="16" t="str">
        <f t="shared" si="10"/>
        <v/>
      </c>
      <c r="O150" s="16"/>
      <c r="P150" s="17" t="str">
        <f t="shared" ca="1" si="11"/>
        <v>НЕТ СРОКА</v>
      </c>
      <c r="Q150" s="17"/>
      <c r="R150" s="17"/>
      <c r="S150" s="17"/>
      <c r="T150" s="19"/>
      <c r="U150" s="19"/>
      <c r="V150" s="20"/>
    </row>
    <row r="151" spans="1:22" ht="33.950000000000003" customHeight="1">
      <c r="A151" s="21">
        <f t="shared" si="12"/>
        <v>142</v>
      </c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6"/>
      <c r="N151" s="16" t="str">
        <f t="shared" si="10"/>
        <v/>
      </c>
      <c r="O151" s="16"/>
      <c r="P151" s="17" t="str">
        <f t="shared" ca="1" si="11"/>
        <v>НЕТ СРОКА</v>
      </c>
      <c r="Q151" s="17"/>
      <c r="R151" s="17"/>
      <c r="S151" s="17"/>
      <c r="T151" s="19"/>
      <c r="U151" s="19"/>
      <c r="V151" s="20"/>
    </row>
    <row r="152" spans="1:22" ht="33.950000000000003" customHeight="1">
      <c r="A152" s="21">
        <f t="shared" si="12"/>
        <v>143</v>
      </c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6"/>
      <c r="N152" s="16" t="str">
        <f t="shared" si="10"/>
        <v/>
      </c>
      <c r="O152" s="16"/>
      <c r="P152" s="17" t="str">
        <f t="shared" ca="1" si="11"/>
        <v>НЕТ СРОКА</v>
      </c>
      <c r="Q152" s="17"/>
      <c r="R152" s="17"/>
      <c r="S152" s="17"/>
      <c r="T152" s="19"/>
      <c r="U152" s="19"/>
      <c r="V152" s="20"/>
    </row>
    <row r="153" spans="1:22" ht="33.950000000000003" customHeight="1">
      <c r="A153" s="21">
        <f t="shared" si="12"/>
        <v>144</v>
      </c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6"/>
      <c r="N153" s="16" t="str">
        <f t="shared" si="10"/>
        <v/>
      </c>
      <c r="O153" s="16"/>
      <c r="P153" s="17" t="str">
        <f t="shared" ca="1" si="11"/>
        <v>НЕТ СРОКА</v>
      </c>
      <c r="Q153" s="17"/>
      <c r="R153" s="17"/>
      <c r="S153" s="17"/>
      <c r="T153" s="19"/>
      <c r="U153" s="19"/>
      <c r="V153" s="20"/>
    </row>
    <row r="154" spans="1:22" ht="33.950000000000003" customHeight="1">
      <c r="A154" s="21">
        <f t="shared" si="12"/>
        <v>145</v>
      </c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6"/>
      <c r="N154" s="16" t="str">
        <f t="shared" si="10"/>
        <v/>
      </c>
      <c r="O154" s="16"/>
      <c r="P154" s="17" t="str">
        <f t="shared" ca="1" si="11"/>
        <v>НЕТ СРОКА</v>
      </c>
      <c r="Q154" s="17"/>
      <c r="R154" s="17"/>
      <c r="S154" s="17"/>
      <c r="T154" s="19"/>
      <c r="U154" s="19"/>
      <c r="V154" s="20"/>
    </row>
    <row r="155" spans="1:22" ht="33.950000000000003" customHeight="1">
      <c r="A155" s="21">
        <f t="shared" si="12"/>
        <v>146</v>
      </c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6"/>
      <c r="N155" s="16" t="str">
        <f t="shared" si="10"/>
        <v/>
      </c>
      <c r="O155" s="16"/>
      <c r="P155" s="17" t="str">
        <f t="shared" ca="1" si="11"/>
        <v>НЕТ СРОКА</v>
      </c>
      <c r="Q155" s="17"/>
      <c r="R155" s="17"/>
      <c r="S155" s="17"/>
      <c r="T155" s="19"/>
      <c r="U155" s="19"/>
      <c r="V155" s="20"/>
    </row>
    <row r="156" spans="1:22" ht="33.950000000000003" customHeight="1">
      <c r="A156" s="21">
        <f t="shared" si="12"/>
        <v>147</v>
      </c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6"/>
      <c r="N156" s="16" t="str">
        <f t="shared" si="10"/>
        <v/>
      </c>
      <c r="O156" s="16"/>
      <c r="P156" s="17" t="str">
        <f t="shared" ca="1" si="11"/>
        <v>НЕТ СРОКА</v>
      </c>
      <c r="Q156" s="17"/>
      <c r="R156" s="17"/>
      <c r="S156" s="17"/>
      <c r="T156" s="19"/>
      <c r="U156" s="19"/>
      <c r="V156" s="20"/>
    </row>
    <row r="157" spans="1:22" ht="33.950000000000003" customHeight="1">
      <c r="A157" s="21">
        <f t="shared" si="12"/>
        <v>148</v>
      </c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6"/>
      <c r="N157" s="16" t="str">
        <f t="shared" si="10"/>
        <v/>
      </c>
      <c r="O157" s="16"/>
      <c r="P157" s="17" t="str">
        <f t="shared" ca="1" si="11"/>
        <v>НЕТ СРОКА</v>
      </c>
      <c r="Q157" s="17"/>
      <c r="R157" s="17"/>
      <c r="S157" s="17"/>
      <c r="T157" s="19"/>
      <c r="U157" s="19"/>
      <c r="V157" s="20"/>
    </row>
    <row r="158" spans="1:22" ht="33.950000000000003" customHeight="1">
      <c r="A158" s="21">
        <f t="shared" si="12"/>
        <v>149</v>
      </c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6"/>
      <c r="N158" s="16" t="str">
        <f t="shared" si="10"/>
        <v/>
      </c>
      <c r="O158" s="16"/>
      <c r="P158" s="17" t="str">
        <f t="shared" ca="1" si="11"/>
        <v>НЕТ СРОКА</v>
      </c>
      <c r="Q158" s="17"/>
      <c r="R158" s="17"/>
      <c r="S158" s="17"/>
      <c r="T158" s="19"/>
      <c r="U158" s="19"/>
      <c r="V158" s="20"/>
    </row>
    <row r="159" spans="1:22" ht="33.950000000000003" customHeight="1">
      <c r="A159" s="21">
        <f t="shared" si="12"/>
        <v>150</v>
      </c>
      <c r="B159" s="16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6"/>
      <c r="N159" s="16" t="str">
        <f t="shared" si="10"/>
        <v/>
      </c>
      <c r="O159" s="16"/>
      <c r="P159" s="17" t="str">
        <f t="shared" ca="1" si="11"/>
        <v>НЕТ СРОКА</v>
      </c>
      <c r="Q159" s="17"/>
      <c r="R159" s="17"/>
      <c r="S159" s="17"/>
      <c r="T159" s="19"/>
      <c r="U159" s="19"/>
      <c r="V159" s="20"/>
    </row>
    <row r="160" spans="1:22" ht="33.950000000000003" customHeight="1">
      <c r="A160" s="21">
        <f t="shared" si="12"/>
        <v>151</v>
      </c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6"/>
      <c r="N160" s="16" t="str">
        <f t="shared" si="10"/>
        <v/>
      </c>
      <c r="O160" s="16"/>
      <c r="P160" s="17" t="str">
        <f t="shared" ca="1" si="11"/>
        <v>НЕТ СРОКА</v>
      </c>
      <c r="Q160" s="17"/>
      <c r="R160" s="17"/>
      <c r="S160" s="17"/>
      <c r="T160" s="19"/>
      <c r="U160" s="19"/>
      <c r="V160" s="20"/>
    </row>
    <row r="161" spans="1:22" ht="33.950000000000003" customHeight="1">
      <c r="A161" s="21">
        <f t="shared" si="12"/>
        <v>152</v>
      </c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6"/>
      <c r="N161" s="16" t="str">
        <f t="shared" si="10"/>
        <v/>
      </c>
      <c r="O161" s="16"/>
      <c r="P161" s="17" t="str">
        <f t="shared" ca="1" si="11"/>
        <v>НЕТ СРОКА</v>
      </c>
      <c r="Q161" s="17"/>
      <c r="R161" s="17"/>
      <c r="S161" s="17"/>
      <c r="T161" s="19"/>
      <c r="U161" s="19"/>
      <c r="V161" s="20"/>
    </row>
    <row r="162" spans="1:22" ht="33.950000000000003" customHeight="1">
      <c r="A162" s="21">
        <f t="shared" si="12"/>
        <v>153</v>
      </c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6"/>
      <c r="N162" s="16" t="str">
        <f t="shared" si="10"/>
        <v/>
      </c>
      <c r="O162" s="16"/>
      <c r="P162" s="17" t="str">
        <f t="shared" ca="1" si="11"/>
        <v>НЕТ СРОКА</v>
      </c>
      <c r="Q162" s="17"/>
      <c r="R162" s="17"/>
      <c r="S162" s="17"/>
      <c r="T162" s="19"/>
      <c r="U162" s="19"/>
      <c r="V162" s="20"/>
    </row>
    <row r="163" spans="1:22" ht="33.950000000000003" customHeight="1">
      <c r="A163" s="21">
        <f t="shared" si="12"/>
        <v>154</v>
      </c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6"/>
      <c r="N163" s="16" t="str">
        <f t="shared" si="10"/>
        <v/>
      </c>
      <c r="O163" s="16"/>
      <c r="P163" s="17" t="str">
        <f t="shared" ca="1" si="11"/>
        <v>НЕТ СРОКА</v>
      </c>
      <c r="Q163" s="17"/>
      <c r="R163" s="17"/>
      <c r="S163" s="17"/>
      <c r="T163" s="19"/>
      <c r="U163" s="19"/>
      <c r="V163" s="20"/>
    </row>
    <row r="164" spans="1:22" ht="33.950000000000003" customHeight="1">
      <c r="A164" s="21">
        <f t="shared" si="12"/>
        <v>155</v>
      </c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6"/>
      <c r="N164" s="16" t="str">
        <f t="shared" si="10"/>
        <v/>
      </c>
      <c r="O164" s="16"/>
      <c r="P164" s="17" t="str">
        <f t="shared" ca="1" si="11"/>
        <v>НЕТ СРОКА</v>
      </c>
      <c r="Q164" s="17"/>
      <c r="R164" s="17"/>
      <c r="S164" s="17"/>
      <c r="T164" s="19"/>
      <c r="U164" s="19"/>
      <c r="V164" s="20"/>
    </row>
    <row r="165" spans="1:22" ht="33.950000000000003" customHeight="1">
      <c r="A165" s="21">
        <f t="shared" si="12"/>
        <v>156</v>
      </c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6"/>
      <c r="N165" s="16" t="str">
        <f t="shared" si="10"/>
        <v/>
      </c>
      <c r="O165" s="16"/>
      <c r="P165" s="17" t="str">
        <f t="shared" ca="1" si="11"/>
        <v>НЕТ СРОКА</v>
      </c>
      <c r="Q165" s="17"/>
      <c r="R165" s="17"/>
      <c r="S165" s="17"/>
      <c r="T165" s="19"/>
      <c r="U165" s="19"/>
      <c r="V165" s="20"/>
    </row>
    <row r="166" spans="1:22" ht="33.950000000000003" customHeight="1">
      <c r="A166" s="21">
        <f t="shared" si="12"/>
        <v>157</v>
      </c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6"/>
      <c r="N166" s="16" t="str">
        <f t="shared" si="10"/>
        <v/>
      </c>
      <c r="O166" s="16"/>
      <c r="P166" s="17" t="str">
        <f t="shared" ca="1" si="11"/>
        <v>НЕТ СРОКА</v>
      </c>
      <c r="Q166" s="17"/>
      <c r="R166" s="17"/>
      <c r="S166" s="17"/>
      <c r="T166" s="19"/>
      <c r="U166" s="19"/>
      <c r="V166" s="20"/>
    </row>
    <row r="167" spans="1:22" ht="33.950000000000003" customHeight="1">
      <c r="A167" s="21">
        <f t="shared" si="12"/>
        <v>158</v>
      </c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6"/>
      <c r="N167" s="16" t="str">
        <f t="shared" si="10"/>
        <v/>
      </c>
      <c r="O167" s="16"/>
      <c r="P167" s="17" t="str">
        <f t="shared" ca="1" si="11"/>
        <v>НЕТ СРОКА</v>
      </c>
      <c r="Q167" s="17"/>
      <c r="R167" s="17"/>
      <c r="S167" s="17"/>
      <c r="T167" s="19"/>
      <c r="U167" s="19"/>
      <c r="V167" s="20"/>
    </row>
    <row r="168" spans="1:22" ht="33.950000000000003" customHeight="1">
      <c r="A168" s="21">
        <f t="shared" si="12"/>
        <v>159</v>
      </c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6"/>
      <c r="N168" s="16" t="str">
        <f t="shared" si="10"/>
        <v/>
      </c>
      <c r="O168" s="16"/>
      <c r="P168" s="17" t="str">
        <f t="shared" ca="1" si="11"/>
        <v>НЕТ СРОКА</v>
      </c>
      <c r="Q168" s="17"/>
      <c r="R168" s="17"/>
      <c r="S168" s="17"/>
      <c r="T168" s="19"/>
      <c r="U168" s="19"/>
      <c r="V168" s="20"/>
    </row>
    <row r="169" spans="1:22" ht="33.950000000000003" customHeight="1">
      <c r="A169" s="21">
        <f t="shared" si="12"/>
        <v>160</v>
      </c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6"/>
      <c r="N169" s="16" t="str">
        <f t="shared" si="10"/>
        <v/>
      </c>
      <c r="O169" s="16"/>
      <c r="P169" s="17" t="str">
        <f t="shared" ca="1" si="11"/>
        <v>НЕТ СРОКА</v>
      </c>
      <c r="Q169" s="17"/>
      <c r="R169" s="17"/>
      <c r="S169" s="17"/>
      <c r="T169" s="19"/>
      <c r="U169" s="19"/>
      <c r="V169" s="20"/>
    </row>
    <row r="170" spans="1:22" ht="33.950000000000003" customHeight="1">
      <c r="A170" s="21">
        <f t="shared" si="12"/>
        <v>161</v>
      </c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6"/>
      <c r="N170" s="16" t="str">
        <f t="shared" ref="N170:N201" si="13">IF(M170="","",IF(LEFT(J170,3)="III",M170+6/24,IF(LEFT(J170,2)="II",M170+5/24,IF(LEFT(J170,1)="I",M170+3/24,""))))</f>
        <v/>
      </c>
      <c r="O170" s="16"/>
      <c r="P170" s="17" t="str">
        <f t="shared" ref="P170:P201" ca="1" si="14">IF(A170="","",IF(N170="","НЕТ СРОКА",IF(O170&lt;&gt;"",IF(O170&lt;=N170,"ПОЛУЧЕН В СРОК","ПОЛУЧЕН С ПРОСРОЧКОЙ"),IF(NOW()&gt;N170,"ПРОСРОЧЕНО","ОЖИДАЕТСЯ"))))</f>
        <v>НЕТ СРОКА</v>
      </c>
      <c r="Q170" s="17"/>
      <c r="R170" s="17"/>
      <c r="S170" s="17"/>
      <c r="T170" s="19"/>
      <c r="U170" s="19"/>
      <c r="V170" s="20"/>
    </row>
    <row r="171" spans="1:22" ht="33.950000000000003" customHeight="1">
      <c r="A171" s="21">
        <f t="shared" si="12"/>
        <v>162</v>
      </c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6"/>
      <c r="N171" s="16" t="str">
        <f t="shared" si="13"/>
        <v/>
      </c>
      <c r="O171" s="16"/>
      <c r="P171" s="17" t="str">
        <f t="shared" ca="1" si="14"/>
        <v>НЕТ СРОКА</v>
      </c>
      <c r="Q171" s="17"/>
      <c r="R171" s="17"/>
      <c r="S171" s="17"/>
      <c r="T171" s="19"/>
      <c r="U171" s="19"/>
      <c r="V171" s="20"/>
    </row>
    <row r="172" spans="1:22" ht="33.950000000000003" customHeight="1">
      <c r="A172" s="21">
        <f t="shared" si="12"/>
        <v>163</v>
      </c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6"/>
      <c r="N172" s="16" t="str">
        <f t="shared" si="13"/>
        <v/>
      </c>
      <c r="O172" s="16"/>
      <c r="P172" s="17" t="str">
        <f t="shared" ca="1" si="14"/>
        <v>НЕТ СРОКА</v>
      </c>
      <c r="Q172" s="17"/>
      <c r="R172" s="17"/>
      <c r="S172" s="17"/>
      <c r="T172" s="19"/>
      <c r="U172" s="19"/>
      <c r="V172" s="20"/>
    </row>
    <row r="173" spans="1:22" ht="33.950000000000003" customHeight="1">
      <c r="A173" s="21">
        <f t="shared" si="12"/>
        <v>164</v>
      </c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6"/>
      <c r="N173" s="16" t="str">
        <f t="shared" si="13"/>
        <v/>
      </c>
      <c r="O173" s="16"/>
      <c r="P173" s="17" t="str">
        <f t="shared" ca="1" si="14"/>
        <v>НЕТ СРОКА</v>
      </c>
      <c r="Q173" s="17"/>
      <c r="R173" s="17"/>
      <c r="S173" s="17"/>
      <c r="T173" s="19"/>
      <c r="U173" s="19"/>
      <c r="V173" s="20"/>
    </row>
    <row r="174" spans="1:22" ht="33.950000000000003" customHeight="1">
      <c r="A174" s="21">
        <f t="shared" si="12"/>
        <v>165</v>
      </c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6"/>
      <c r="N174" s="16" t="str">
        <f t="shared" si="13"/>
        <v/>
      </c>
      <c r="O174" s="16"/>
      <c r="P174" s="17" t="str">
        <f t="shared" ca="1" si="14"/>
        <v>НЕТ СРОКА</v>
      </c>
      <c r="Q174" s="17"/>
      <c r="R174" s="17"/>
      <c r="S174" s="17"/>
      <c r="T174" s="19"/>
      <c r="U174" s="19"/>
      <c r="V174" s="20"/>
    </row>
    <row r="175" spans="1:22" ht="33.950000000000003" customHeight="1">
      <c r="A175" s="21">
        <f t="shared" si="12"/>
        <v>166</v>
      </c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6"/>
      <c r="N175" s="16" t="str">
        <f t="shared" si="13"/>
        <v/>
      </c>
      <c r="O175" s="16"/>
      <c r="P175" s="17" t="str">
        <f t="shared" ca="1" si="14"/>
        <v>НЕТ СРОКА</v>
      </c>
      <c r="Q175" s="17"/>
      <c r="R175" s="17"/>
      <c r="S175" s="17"/>
      <c r="T175" s="19"/>
      <c r="U175" s="19"/>
      <c r="V175" s="20"/>
    </row>
    <row r="176" spans="1:22" ht="33.950000000000003" customHeight="1">
      <c r="A176" s="21">
        <f t="shared" si="12"/>
        <v>167</v>
      </c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6"/>
      <c r="N176" s="16" t="str">
        <f t="shared" si="13"/>
        <v/>
      </c>
      <c r="O176" s="16"/>
      <c r="P176" s="17" t="str">
        <f t="shared" ca="1" si="14"/>
        <v>НЕТ СРОКА</v>
      </c>
      <c r="Q176" s="17"/>
      <c r="R176" s="17"/>
      <c r="S176" s="17"/>
      <c r="T176" s="19"/>
      <c r="U176" s="19"/>
      <c r="V176" s="20"/>
    </row>
    <row r="177" spans="1:22" ht="33.950000000000003" customHeight="1">
      <c r="A177" s="21">
        <f t="shared" si="12"/>
        <v>168</v>
      </c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6"/>
      <c r="N177" s="16" t="str">
        <f t="shared" si="13"/>
        <v/>
      </c>
      <c r="O177" s="16"/>
      <c r="P177" s="17" t="str">
        <f t="shared" ca="1" si="14"/>
        <v>НЕТ СРОКА</v>
      </c>
      <c r="Q177" s="17"/>
      <c r="R177" s="17"/>
      <c r="S177" s="17"/>
      <c r="T177" s="19"/>
      <c r="U177" s="19"/>
      <c r="V177" s="20"/>
    </row>
    <row r="178" spans="1:22" ht="33.950000000000003" customHeight="1">
      <c r="A178" s="21">
        <f t="shared" si="12"/>
        <v>169</v>
      </c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6"/>
      <c r="N178" s="16" t="str">
        <f t="shared" si="13"/>
        <v/>
      </c>
      <c r="O178" s="16"/>
      <c r="P178" s="17" t="str">
        <f t="shared" ca="1" si="14"/>
        <v>НЕТ СРОКА</v>
      </c>
      <c r="Q178" s="17"/>
      <c r="R178" s="17"/>
      <c r="S178" s="17"/>
      <c r="T178" s="19"/>
      <c r="U178" s="19"/>
      <c r="V178" s="20"/>
    </row>
    <row r="179" spans="1:22" ht="33.950000000000003" customHeight="1">
      <c r="A179" s="21">
        <f t="shared" si="12"/>
        <v>170</v>
      </c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6"/>
      <c r="N179" s="16" t="str">
        <f t="shared" si="13"/>
        <v/>
      </c>
      <c r="O179" s="16"/>
      <c r="P179" s="17" t="str">
        <f t="shared" ca="1" si="14"/>
        <v>НЕТ СРОКА</v>
      </c>
      <c r="Q179" s="17"/>
      <c r="R179" s="17"/>
      <c r="S179" s="17"/>
      <c r="T179" s="19"/>
      <c r="U179" s="19"/>
      <c r="V179" s="20"/>
    </row>
    <row r="180" spans="1:22" ht="33.950000000000003" customHeight="1">
      <c r="A180" s="21">
        <f t="shared" si="12"/>
        <v>171</v>
      </c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6"/>
      <c r="N180" s="16" t="str">
        <f t="shared" si="13"/>
        <v/>
      </c>
      <c r="O180" s="16"/>
      <c r="P180" s="17" t="str">
        <f t="shared" ca="1" si="14"/>
        <v>НЕТ СРОКА</v>
      </c>
      <c r="Q180" s="17"/>
      <c r="R180" s="17"/>
      <c r="S180" s="17"/>
      <c r="T180" s="19"/>
      <c r="U180" s="19"/>
      <c r="V180" s="20"/>
    </row>
    <row r="181" spans="1:22" ht="33.950000000000003" customHeight="1">
      <c r="A181" s="21">
        <f t="shared" si="12"/>
        <v>172</v>
      </c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6"/>
      <c r="N181" s="16" t="str">
        <f t="shared" si="13"/>
        <v/>
      </c>
      <c r="O181" s="16"/>
      <c r="P181" s="17" t="str">
        <f t="shared" ca="1" si="14"/>
        <v>НЕТ СРОКА</v>
      </c>
      <c r="Q181" s="17"/>
      <c r="R181" s="17"/>
      <c r="S181" s="17"/>
      <c r="T181" s="19"/>
      <c r="U181" s="19"/>
      <c r="V181" s="20"/>
    </row>
    <row r="182" spans="1:22" ht="33.950000000000003" customHeight="1">
      <c r="A182" s="21">
        <f t="shared" si="12"/>
        <v>173</v>
      </c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6"/>
      <c r="N182" s="16" t="str">
        <f t="shared" si="13"/>
        <v/>
      </c>
      <c r="O182" s="16"/>
      <c r="P182" s="17" t="str">
        <f t="shared" ca="1" si="14"/>
        <v>НЕТ СРОКА</v>
      </c>
      <c r="Q182" s="17"/>
      <c r="R182" s="17"/>
      <c r="S182" s="17"/>
      <c r="T182" s="19"/>
      <c r="U182" s="19"/>
      <c r="V182" s="20"/>
    </row>
    <row r="183" spans="1:22" ht="33.950000000000003" customHeight="1">
      <c r="A183" s="21">
        <f t="shared" si="12"/>
        <v>174</v>
      </c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6"/>
      <c r="N183" s="16" t="str">
        <f t="shared" si="13"/>
        <v/>
      </c>
      <c r="O183" s="16"/>
      <c r="P183" s="17" t="str">
        <f t="shared" ca="1" si="14"/>
        <v>НЕТ СРОКА</v>
      </c>
      <c r="Q183" s="17"/>
      <c r="R183" s="17"/>
      <c r="S183" s="17"/>
      <c r="T183" s="19"/>
      <c r="U183" s="19"/>
      <c r="V183" s="20"/>
    </row>
    <row r="184" spans="1:22" ht="33.950000000000003" customHeight="1">
      <c r="A184" s="21">
        <f t="shared" si="12"/>
        <v>175</v>
      </c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6"/>
      <c r="N184" s="16" t="str">
        <f t="shared" si="13"/>
        <v/>
      </c>
      <c r="O184" s="16"/>
      <c r="P184" s="17" t="str">
        <f t="shared" ca="1" si="14"/>
        <v>НЕТ СРОКА</v>
      </c>
      <c r="Q184" s="17"/>
      <c r="R184" s="17"/>
      <c r="S184" s="17"/>
      <c r="T184" s="19"/>
      <c r="U184" s="19"/>
      <c r="V184" s="20"/>
    </row>
    <row r="185" spans="1:22" ht="33.950000000000003" customHeight="1">
      <c r="A185" s="21">
        <f t="shared" si="12"/>
        <v>176</v>
      </c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6"/>
      <c r="N185" s="16" t="str">
        <f t="shared" si="13"/>
        <v/>
      </c>
      <c r="O185" s="16"/>
      <c r="P185" s="17" t="str">
        <f t="shared" ca="1" si="14"/>
        <v>НЕТ СРОКА</v>
      </c>
      <c r="Q185" s="17"/>
      <c r="R185" s="17"/>
      <c r="S185" s="17"/>
      <c r="T185" s="19"/>
      <c r="U185" s="19"/>
      <c r="V185" s="20"/>
    </row>
    <row r="186" spans="1:22" ht="33.950000000000003" customHeight="1">
      <c r="A186" s="21">
        <f t="shared" si="12"/>
        <v>177</v>
      </c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6"/>
      <c r="N186" s="16" t="str">
        <f t="shared" si="13"/>
        <v/>
      </c>
      <c r="O186" s="16"/>
      <c r="P186" s="17" t="str">
        <f t="shared" ca="1" si="14"/>
        <v>НЕТ СРОКА</v>
      </c>
      <c r="Q186" s="17"/>
      <c r="R186" s="17"/>
      <c r="S186" s="17"/>
      <c r="T186" s="19"/>
      <c r="U186" s="19"/>
      <c r="V186" s="20"/>
    </row>
    <row r="187" spans="1:22" ht="33.950000000000003" customHeight="1">
      <c r="A187" s="21">
        <f t="shared" si="12"/>
        <v>178</v>
      </c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6"/>
      <c r="N187" s="16" t="str">
        <f t="shared" si="13"/>
        <v/>
      </c>
      <c r="O187" s="16"/>
      <c r="P187" s="17" t="str">
        <f t="shared" ca="1" si="14"/>
        <v>НЕТ СРОКА</v>
      </c>
      <c r="Q187" s="17"/>
      <c r="R187" s="17"/>
      <c r="S187" s="17"/>
      <c r="T187" s="19"/>
      <c r="U187" s="19"/>
      <c r="V187" s="20"/>
    </row>
    <row r="188" spans="1:22" ht="33.950000000000003" customHeight="1">
      <c r="A188" s="21">
        <f t="shared" si="12"/>
        <v>179</v>
      </c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6"/>
      <c r="N188" s="16" t="str">
        <f t="shared" si="13"/>
        <v/>
      </c>
      <c r="O188" s="16"/>
      <c r="P188" s="17" t="str">
        <f t="shared" ca="1" si="14"/>
        <v>НЕТ СРОКА</v>
      </c>
      <c r="Q188" s="17"/>
      <c r="R188" s="17"/>
      <c r="S188" s="17"/>
      <c r="T188" s="19"/>
      <c r="U188" s="19"/>
      <c r="V188" s="20"/>
    </row>
    <row r="189" spans="1:22" ht="33.950000000000003" customHeight="1">
      <c r="A189" s="21">
        <f t="shared" si="12"/>
        <v>180</v>
      </c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6"/>
      <c r="N189" s="16" t="str">
        <f t="shared" si="13"/>
        <v/>
      </c>
      <c r="O189" s="16"/>
      <c r="P189" s="17" t="str">
        <f t="shared" ca="1" si="14"/>
        <v>НЕТ СРОКА</v>
      </c>
      <c r="Q189" s="17"/>
      <c r="R189" s="17"/>
      <c r="S189" s="17"/>
      <c r="T189" s="19"/>
      <c r="U189" s="19"/>
      <c r="V189" s="20"/>
    </row>
    <row r="190" spans="1:22" ht="33.950000000000003" customHeight="1">
      <c r="A190" s="21">
        <f t="shared" si="12"/>
        <v>181</v>
      </c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6"/>
      <c r="N190" s="16" t="str">
        <f t="shared" si="13"/>
        <v/>
      </c>
      <c r="O190" s="16"/>
      <c r="P190" s="17" t="str">
        <f t="shared" ca="1" si="14"/>
        <v>НЕТ СРОКА</v>
      </c>
      <c r="Q190" s="17"/>
      <c r="R190" s="17"/>
      <c r="S190" s="17"/>
      <c r="T190" s="19"/>
      <c r="U190" s="19"/>
      <c r="V190" s="20"/>
    </row>
    <row r="191" spans="1:22" ht="33.950000000000003" customHeight="1">
      <c r="A191" s="21">
        <f t="shared" si="12"/>
        <v>182</v>
      </c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6"/>
      <c r="N191" s="16" t="str">
        <f t="shared" si="13"/>
        <v/>
      </c>
      <c r="O191" s="16"/>
      <c r="P191" s="17" t="str">
        <f t="shared" ca="1" si="14"/>
        <v>НЕТ СРОКА</v>
      </c>
      <c r="Q191" s="17"/>
      <c r="R191" s="17"/>
      <c r="S191" s="17"/>
      <c r="T191" s="19"/>
      <c r="U191" s="19"/>
      <c r="V191" s="20"/>
    </row>
    <row r="192" spans="1:22" ht="33.950000000000003" customHeight="1">
      <c r="A192" s="21">
        <f t="shared" si="12"/>
        <v>183</v>
      </c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6"/>
      <c r="N192" s="16" t="str">
        <f t="shared" si="13"/>
        <v/>
      </c>
      <c r="O192" s="16"/>
      <c r="P192" s="17" t="str">
        <f t="shared" ca="1" si="14"/>
        <v>НЕТ СРОКА</v>
      </c>
      <c r="Q192" s="17"/>
      <c r="R192" s="17"/>
      <c r="S192" s="17"/>
      <c r="T192" s="19"/>
      <c r="U192" s="19"/>
      <c r="V192" s="20"/>
    </row>
    <row r="193" spans="1:22" ht="33.950000000000003" customHeight="1">
      <c r="A193" s="21">
        <f t="shared" si="12"/>
        <v>184</v>
      </c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6"/>
      <c r="N193" s="16" t="str">
        <f t="shared" si="13"/>
        <v/>
      </c>
      <c r="O193" s="16"/>
      <c r="P193" s="17" t="str">
        <f t="shared" ca="1" si="14"/>
        <v>НЕТ СРОКА</v>
      </c>
      <c r="Q193" s="17"/>
      <c r="R193" s="17"/>
      <c r="S193" s="17"/>
      <c r="T193" s="19"/>
      <c r="U193" s="19"/>
      <c r="V193" s="20"/>
    </row>
    <row r="194" spans="1:22" ht="33.950000000000003" customHeight="1">
      <c r="A194" s="21">
        <f t="shared" si="12"/>
        <v>185</v>
      </c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6"/>
      <c r="N194" s="16" t="str">
        <f t="shared" si="13"/>
        <v/>
      </c>
      <c r="O194" s="16"/>
      <c r="P194" s="17" t="str">
        <f t="shared" ca="1" si="14"/>
        <v>НЕТ СРОКА</v>
      </c>
      <c r="Q194" s="17"/>
      <c r="R194" s="17"/>
      <c r="S194" s="17"/>
      <c r="T194" s="19"/>
      <c r="U194" s="19"/>
      <c r="V194" s="20"/>
    </row>
    <row r="195" spans="1:22" ht="33.950000000000003" customHeight="1">
      <c r="A195" s="21">
        <f t="shared" si="12"/>
        <v>186</v>
      </c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6"/>
      <c r="N195" s="16" t="str">
        <f t="shared" si="13"/>
        <v/>
      </c>
      <c r="O195" s="16"/>
      <c r="P195" s="17" t="str">
        <f t="shared" ca="1" si="14"/>
        <v>НЕТ СРОКА</v>
      </c>
      <c r="Q195" s="17"/>
      <c r="R195" s="17"/>
      <c r="S195" s="17"/>
      <c r="T195" s="19"/>
      <c r="U195" s="19"/>
      <c r="V195" s="20"/>
    </row>
    <row r="196" spans="1:22" ht="33.950000000000003" customHeight="1">
      <c r="A196" s="21">
        <f t="shared" si="12"/>
        <v>187</v>
      </c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6"/>
      <c r="N196" s="16" t="str">
        <f t="shared" si="13"/>
        <v/>
      </c>
      <c r="O196" s="16"/>
      <c r="P196" s="17" t="str">
        <f t="shared" ca="1" si="14"/>
        <v>НЕТ СРОКА</v>
      </c>
      <c r="Q196" s="17"/>
      <c r="R196" s="17"/>
      <c r="S196" s="17"/>
      <c r="T196" s="19"/>
      <c r="U196" s="19"/>
      <c r="V196" s="20"/>
    </row>
    <row r="197" spans="1:22" ht="33.950000000000003" customHeight="1">
      <c r="A197" s="21">
        <f t="shared" si="12"/>
        <v>188</v>
      </c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6"/>
      <c r="N197" s="16" t="str">
        <f t="shared" si="13"/>
        <v/>
      </c>
      <c r="O197" s="16"/>
      <c r="P197" s="17" t="str">
        <f t="shared" ca="1" si="14"/>
        <v>НЕТ СРОКА</v>
      </c>
      <c r="Q197" s="17"/>
      <c r="R197" s="17"/>
      <c r="S197" s="17"/>
      <c r="T197" s="19"/>
      <c r="U197" s="19"/>
      <c r="V197" s="20"/>
    </row>
    <row r="198" spans="1:22" ht="33.950000000000003" customHeight="1">
      <c r="A198" s="21">
        <f t="shared" si="12"/>
        <v>189</v>
      </c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6"/>
      <c r="N198" s="16" t="str">
        <f t="shared" si="13"/>
        <v/>
      </c>
      <c r="O198" s="16"/>
      <c r="P198" s="17" t="str">
        <f t="shared" ca="1" si="14"/>
        <v>НЕТ СРОКА</v>
      </c>
      <c r="Q198" s="17"/>
      <c r="R198" s="17"/>
      <c r="S198" s="17"/>
      <c r="T198" s="19"/>
      <c r="U198" s="19"/>
      <c r="V198" s="20"/>
    </row>
    <row r="199" spans="1:22" ht="33.950000000000003" customHeight="1">
      <c r="A199" s="21">
        <f t="shared" si="12"/>
        <v>190</v>
      </c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6"/>
      <c r="N199" s="16" t="str">
        <f t="shared" si="13"/>
        <v/>
      </c>
      <c r="O199" s="16"/>
      <c r="P199" s="17" t="str">
        <f t="shared" ca="1" si="14"/>
        <v>НЕТ СРОКА</v>
      </c>
      <c r="Q199" s="17"/>
      <c r="R199" s="17"/>
      <c r="S199" s="17"/>
      <c r="T199" s="19"/>
      <c r="U199" s="19"/>
      <c r="V199" s="20"/>
    </row>
    <row r="200" spans="1:22" ht="33.950000000000003" customHeight="1">
      <c r="A200" s="21">
        <f t="shared" si="12"/>
        <v>191</v>
      </c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6"/>
      <c r="N200" s="16" t="str">
        <f t="shared" si="13"/>
        <v/>
      </c>
      <c r="O200" s="16"/>
      <c r="P200" s="17" t="str">
        <f t="shared" ca="1" si="14"/>
        <v>НЕТ СРОКА</v>
      </c>
      <c r="Q200" s="17"/>
      <c r="R200" s="17"/>
      <c r="S200" s="17"/>
      <c r="T200" s="19"/>
      <c r="U200" s="19"/>
      <c r="V200" s="20"/>
    </row>
    <row r="201" spans="1:22" ht="33.950000000000003" customHeight="1">
      <c r="A201" s="21">
        <f t="shared" si="12"/>
        <v>192</v>
      </c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6"/>
      <c r="N201" s="16" t="str">
        <f t="shared" si="13"/>
        <v/>
      </c>
      <c r="O201" s="16"/>
      <c r="P201" s="17" t="str">
        <f t="shared" ca="1" si="14"/>
        <v>НЕТ СРОКА</v>
      </c>
      <c r="Q201" s="17"/>
      <c r="R201" s="17"/>
      <c r="S201" s="17"/>
      <c r="T201" s="19"/>
      <c r="U201" s="19"/>
      <c r="V201" s="20"/>
    </row>
    <row r="202" spans="1:22" ht="33.950000000000003" customHeight="1">
      <c r="A202" s="21">
        <f t="shared" si="12"/>
        <v>193</v>
      </c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6"/>
      <c r="N202" s="16" t="str">
        <f t="shared" ref="N202:N209" si="15">IF(M202="","",IF(LEFT(J202,3)="III",M202+6/24,IF(LEFT(J202,2)="II",M202+5/24,IF(LEFT(J202,1)="I",M202+3/24,""))))</f>
        <v/>
      </c>
      <c r="O202" s="16"/>
      <c r="P202" s="17" t="str">
        <f t="shared" ref="P202:P209" ca="1" si="16">IF(A202="","",IF(N202="","НЕТ СРОКА",IF(O202&lt;&gt;"",IF(O202&lt;=N202,"ПОЛУЧЕН В СРОК","ПОЛУЧЕН С ПРОСРОЧКОЙ"),IF(NOW()&gt;N202,"ПРОСРОЧЕНО","ОЖИДАЕТСЯ"))))</f>
        <v>НЕТ СРОКА</v>
      </c>
      <c r="Q202" s="17"/>
      <c r="R202" s="17"/>
      <c r="S202" s="17"/>
      <c r="T202" s="19"/>
      <c r="U202" s="19"/>
      <c r="V202" s="20"/>
    </row>
    <row r="203" spans="1:22" ht="33.950000000000003" customHeight="1">
      <c r="A203" s="21">
        <f t="shared" si="12"/>
        <v>194</v>
      </c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6"/>
      <c r="N203" s="16" t="str">
        <f t="shared" si="15"/>
        <v/>
      </c>
      <c r="O203" s="16"/>
      <c r="P203" s="17" t="str">
        <f t="shared" ca="1" si="16"/>
        <v>НЕТ СРОКА</v>
      </c>
      <c r="Q203" s="17"/>
      <c r="R203" s="17"/>
      <c r="S203" s="17"/>
      <c r="T203" s="19"/>
      <c r="U203" s="19"/>
      <c r="V203" s="20"/>
    </row>
    <row r="204" spans="1:22" ht="33.950000000000003" customHeight="1">
      <c r="A204" s="21">
        <f t="shared" ref="A204:A209" si="17">A203+1</f>
        <v>195</v>
      </c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6"/>
      <c r="N204" s="16" t="str">
        <f t="shared" si="15"/>
        <v/>
      </c>
      <c r="O204" s="16"/>
      <c r="P204" s="17" t="str">
        <f t="shared" ca="1" si="16"/>
        <v>НЕТ СРОКА</v>
      </c>
      <c r="Q204" s="17"/>
      <c r="R204" s="17"/>
      <c r="S204" s="17"/>
      <c r="T204" s="19"/>
      <c r="U204" s="19"/>
      <c r="V204" s="20"/>
    </row>
    <row r="205" spans="1:22" ht="33.950000000000003" customHeight="1">
      <c r="A205" s="21">
        <f t="shared" si="17"/>
        <v>196</v>
      </c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6"/>
      <c r="N205" s="16" t="str">
        <f t="shared" si="15"/>
        <v/>
      </c>
      <c r="O205" s="16"/>
      <c r="P205" s="17" t="str">
        <f t="shared" ca="1" si="16"/>
        <v>НЕТ СРОКА</v>
      </c>
      <c r="Q205" s="17"/>
      <c r="R205" s="17"/>
      <c r="S205" s="17"/>
      <c r="T205" s="19"/>
      <c r="U205" s="19"/>
      <c r="V205" s="20"/>
    </row>
    <row r="206" spans="1:22" ht="33.950000000000003" customHeight="1">
      <c r="A206" s="21">
        <f t="shared" si="17"/>
        <v>197</v>
      </c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6"/>
      <c r="N206" s="16" t="str">
        <f t="shared" si="15"/>
        <v/>
      </c>
      <c r="O206" s="16"/>
      <c r="P206" s="17" t="str">
        <f t="shared" ca="1" si="16"/>
        <v>НЕТ СРОКА</v>
      </c>
      <c r="Q206" s="17"/>
      <c r="R206" s="17"/>
      <c r="S206" s="17"/>
      <c r="T206" s="19"/>
      <c r="U206" s="19"/>
      <c r="V206" s="20"/>
    </row>
    <row r="207" spans="1:22" ht="33.950000000000003" customHeight="1">
      <c r="A207" s="21">
        <f t="shared" si="17"/>
        <v>198</v>
      </c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6"/>
      <c r="N207" s="16" t="str">
        <f t="shared" si="15"/>
        <v/>
      </c>
      <c r="O207" s="16"/>
      <c r="P207" s="17" t="str">
        <f t="shared" ca="1" si="16"/>
        <v>НЕТ СРОКА</v>
      </c>
      <c r="Q207" s="17"/>
      <c r="R207" s="17"/>
      <c r="S207" s="17"/>
      <c r="T207" s="19"/>
      <c r="U207" s="19"/>
      <c r="V207" s="20"/>
    </row>
    <row r="208" spans="1:22" ht="33.950000000000003" customHeight="1">
      <c r="A208" s="21">
        <f t="shared" si="17"/>
        <v>199</v>
      </c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6"/>
      <c r="N208" s="16" t="str">
        <f t="shared" si="15"/>
        <v/>
      </c>
      <c r="O208" s="16"/>
      <c r="P208" s="17" t="str">
        <f t="shared" ca="1" si="16"/>
        <v>НЕТ СРОКА</v>
      </c>
      <c r="Q208" s="17"/>
      <c r="R208" s="17"/>
      <c r="S208" s="17"/>
      <c r="T208" s="19"/>
      <c r="U208" s="19"/>
      <c r="V208" s="20"/>
    </row>
    <row r="209" spans="1:22" ht="33.950000000000003" customHeight="1">
      <c r="A209" s="22">
        <f t="shared" si="17"/>
        <v>200</v>
      </c>
      <c r="B209" s="2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3"/>
      <c r="N209" s="23" t="str">
        <f t="shared" si="15"/>
        <v/>
      </c>
      <c r="O209" s="23"/>
      <c r="P209" s="24" t="str">
        <f t="shared" ca="1" si="16"/>
        <v>НЕТ СРОКА</v>
      </c>
      <c r="Q209" s="24"/>
      <c r="R209" s="24"/>
      <c r="S209" s="24"/>
      <c r="T209" s="25"/>
      <c r="U209" s="25"/>
      <c r="V209" s="26"/>
    </row>
  </sheetData>
  <mergeCells count="17">
    <mergeCell ref="A8:V8"/>
    <mergeCell ref="A6:C7"/>
    <mergeCell ref="T6:V7"/>
    <mergeCell ref="O6:P7"/>
    <mergeCell ref="K6:L7"/>
    <mergeCell ref="M6:N7"/>
    <mergeCell ref="I6:J7"/>
    <mergeCell ref="G6:H7"/>
    <mergeCell ref="A1:V2"/>
    <mergeCell ref="A3:V3"/>
    <mergeCell ref="A5:C5"/>
    <mergeCell ref="T5:V5"/>
    <mergeCell ref="O5:P5"/>
    <mergeCell ref="K5:L5"/>
    <mergeCell ref="M5:N5"/>
    <mergeCell ref="I5:J5"/>
    <mergeCell ref="G5:H5"/>
  </mergeCells>
  <conditionalFormatting sqref="J10:J209">
    <cfRule type="expression" dxfId="8" priority="4">
      <formula>J10="I — высокий"</formula>
    </cfRule>
    <cfRule type="expression" dxfId="7" priority="5">
      <formula>J10="II — повышенный"</formula>
    </cfRule>
    <cfRule type="expression" dxfId="6" priority="6">
      <formula>J10="III — стандартный"</formula>
    </cfRule>
  </conditionalFormatting>
  <conditionalFormatting sqref="P10:P209">
    <cfRule type="expression" dxfId="5" priority="7">
      <formula>P10="ПРОСРОЧЕНО"</formula>
    </cfRule>
    <cfRule type="expression" dxfId="4" priority="8">
      <formula>P10="ПОЛУЧЕН С ПРОСРОЧКОЙ"</formula>
    </cfRule>
    <cfRule type="expression" dxfId="3" priority="9">
      <formula>P10="ПОЛУЧЕН В СРОК"</formula>
    </cfRule>
    <cfRule type="expression" dxfId="2" priority="10">
      <formula>P10="ОЖИДАЕТСЯ"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Справочники!$A$2:$A$7</xm:f>
          </x14:formula1>
          <xm:sqref>C10:C209</xm:sqref>
        </x14:dataValidation>
        <x14:dataValidation type="list" xr:uid="{00000000-0002-0000-0000-000001000000}">
          <x14:formula1>
            <xm:f>Справочники!$B$2:$B$4</xm:f>
          </x14:formula1>
          <xm:sqref>J10:J209</xm:sqref>
        </x14:dataValidation>
        <x14:dataValidation type="list" xr:uid="{00000000-0002-0000-0000-000002000000}">
          <x14:formula1>
            <xm:f>Справочники!$C$2:$C$12</xm:f>
          </x14:formula1>
          <xm:sqref>L10:L209</xm:sqref>
        </x14:dataValidation>
        <x14:dataValidation type="list" xr:uid="{00000000-0002-0000-0000-000003000000}">
          <x14:formula1>
            <xm:f>Справочники!$D$2:$D$4</xm:f>
          </x14:formula1>
          <xm:sqref>Q10:Q209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A26" sqref="A26"/>
    </sheetView>
  </sheetViews>
  <sheetFormatPr defaultRowHeight="14.25"/>
  <cols>
    <col min="1" max="1" width="42" customWidth="1"/>
    <col min="2" max="2" width="20" customWidth="1"/>
    <col min="3" max="3" width="34" customWidth="1"/>
    <col min="4" max="4" width="22" customWidth="1"/>
  </cols>
  <sheetData>
    <row r="1" spans="1:4" ht="15">
      <c r="A1" s="1" t="s">
        <v>22</v>
      </c>
      <c r="B1" s="1" t="s">
        <v>13</v>
      </c>
      <c r="C1" s="1" t="s">
        <v>23</v>
      </c>
      <c r="D1" s="1" t="s">
        <v>19</v>
      </c>
    </row>
    <row r="2" spans="1:4">
      <c r="A2" t="s">
        <v>24</v>
      </c>
      <c r="B2" t="s">
        <v>25</v>
      </c>
      <c r="C2" t="s">
        <v>26</v>
      </c>
      <c r="D2" t="s">
        <v>27</v>
      </c>
    </row>
    <row r="3" spans="1:4">
      <c r="A3" t="s">
        <v>28</v>
      </c>
      <c r="B3" t="s">
        <v>29</v>
      </c>
      <c r="C3" t="s">
        <v>30</v>
      </c>
      <c r="D3" t="s">
        <v>31</v>
      </c>
    </row>
    <row r="4" spans="1:4">
      <c r="A4" t="s">
        <v>32</v>
      </c>
      <c r="B4" t="s">
        <v>33</v>
      </c>
      <c r="C4" t="s">
        <v>34</v>
      </c>
      <c r="D4" t="s">
        <v>35</v>
      </c>
    </row>
    <row r="5" spans="1:4">
      <c r="A5" t="s">
        <v>36</v>
      </c>
      <c r="C5" t="s">
        <v>37</v>
      </c>
    </row>
    <row r="6" spans="1:4">
      <c r="A6" t="s">
        <v>38</v>
      </c>
      <c r="C6" t="s">
        <v>39</v>
      </c>
    </row>
    <row r="7" spans="1:4">
      <c r="A7" t="s">
        <v>40</v>
      </c>
      <c r="C7" t="s">
        <v>41</v>
      </c>
    </row>
    <row r="8" spans="1:4">
      <c r="C8" t="s">
        <v>42</v>
      </c>
    </row>
    <row r="9" spans="1:4">
      <c r="C9" t="s">
        <v>43</v>
      </c>
    </row>
    <row r="10" spans="1:4">
      <c r="C10" t="s">
        <v>44</v>
      </c>
    </row>
    <row r="11" spans="1:4">
      <c r="C11" t="s">
        <v>45</v>
      </c>
    </row>
    <row r="12" spans="1:4">
      <c r="C1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09AC3-FA09-4839-B21E-B49FBD64B7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мероприятий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Лев</cp:lastModifiedBy>
  <dcterms:modified xsi:type="dcterms:W3CDTF">2026-08-01T10:34:39Z</dcterms:modified>
</cp:coreProperties>
</file>